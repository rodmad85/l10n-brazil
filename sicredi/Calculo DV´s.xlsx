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confederacaosicredi-my.sharepoint.com/personal/camila_brites_sicredi_com_br/Documents/Desktop/Manuais/Cobrança CNAB240 Simples/"/>
    </mc:Choice>
  </mc:AlternateContent>
  <xr:revisionPtr revIDLastSave="273" documentId="13_ncr:1_{08981DA2-0342-45F0-9440-D4FF1DC01484}" xr6:coauthVersionLast="47" xr6:coauthVersionMax="47" xr10:uidLastSave="{3B1876F5-6581-4FAB-848C-2A81157690A4}"/>
  <bookViews>
    <workbookView xWindow="28680" yWindow="-120" windowWidth="29040" windowHeight="15720" tabRatio="750" xr2:uid="{EA7B5401-189F-4495-A85D-3F010CF7F2B9}"/>
  </bookViews>
  <sheets>
    <sheet name="DV Nosso Numero" sheetId="7" r:id="rId1"/>
    <sheet name="DV do campo livre" sheetId="1" r:id="rId2"/>
    <sheet name="DV Geral" sheetId="2" r:id="rId3"/>
    <sheet name="DV do 1º campo" sheetId="5" r:id="rId4"/>
    <sheet name="DV do 2º campo" sheetId="6" r:id="rId5"/>
    <sheet name="DV do 3º campo" sheetId="3" r:id="rId6"/>
    <sheet name="Fator de vencimento" sheetId="4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0" i="4" l="1"/>
  <c r="R20" i="7"/>
  <c r="S13" i="7"/>
  <c r="V11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J26" i="3"/>
  <c r="I26" i="3"/>
  <c r="B20" i="3"/>
  <c r="K9" i="3"/>
  <c r="B22" i="3" s="1"/>
  <c r="J9" i="3"/>
  <c r="I9" i="3"/>
  <c r="G9" i="3"/>
  <c r="H9" i="3"/>
  <c r="H26" i="3" s="1"/>
  <c r="F9" i="3"/>
  <c r="F26" i="3" s="1"/>
  <c r="E9" i="3"/>
  <c r="D9" i="3"/>
  <c r="D26" i="3" s="1"/>
  <c r="C9" i="3"/>
  <c r="B9" i="3"/>
  <c r="B26" i="3" s="1"/>
  <c r="E30" i="6"/>
  <c r="K9" i="6"/>
  <c r="B22" i="6" s="1"/>
  <c r="J9" i="6"/>
  <c r="J26" i="6" s="1"/>
  <c r="F9" i="6"/>
  <c r="F26" i="6" s="1"/>
  <c r="E9" i="6"/>
  <c r="C9" i="6"/>
  <c r="B14" i="6" s="1"/>
  <c r="B9" i="6"/>
  <c r="B26" i="6" s="1"/>
  <c r="I9" i="6"/>
  <c r="H9" i="6"/>
  <c r="H26" i="6" s="1"/>
  <c r="G9" i="6"/>
  <c r="D9" i="6"/>
  <c r="D26" i="6" s="1"/>
  <c r="A16" i="5"/>
  <c r="A14" i="5"/>
  <c r="D14" i="5" s="1"/>
  <c r="F9" i="5"/>
  <c r="F22" i="5" s="1"/>
  <c r="D9" i="5"/>
  <c r="D22" i="5" s="1"/>
  <c r="C9" i="5"/>
  <c r="B9" i="5"/>
  <c r="B22" i="5" s="1"/>
  <c r="A9" i="5"/>
  <c r="I9" i="5"/>
  <c r="H9" i="5"/>
  <c r="H22" i="5" s="1"/>
  <c r="G9" i="5"/>
  <c r="G22" i="5" s="1"/>
  <c r="E5" i="5"/>
  <c r="E9" i="5" s="1"/>
  <c r="E22" i="5" s="1"/>
  <c r="D9" i="4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Y9" i="2"/>
  <c r="X9" i="2"/>
  <c r="W9" i="2"/>
  <c r="V9" i="2"/>
  <c r="U9" i="2"/>
  <c r="T9" i="2"/>
  <c r="R9" i="2"/>
  <c r="Q9" i="2"/>
  <c r="P9" i="2"/>
  <c r="O9" i="2"/>
  <c r="N9" i="2"/>
  <c r="M9" i="2"/>
  <c r="L9" i="2"/>
  <c r="I9" i="2"/>
  <c r="H9" i="2"/>
  <c r="G9" i="2"/>
  <c r="F9" i="2"/>
  <c r="E9" i="2"/>
  <c r="Z9" i="2"/>
  <c r="S9" i="2"/>
  <c r="K9" i="2"/>
  <c r="J9" i="2"/>
  <c r="D9" i="2"/>
  <c r="C9" i="2"/>
  <c r="B9" i="2"/>
  <c r="A9" i="2"/>
  <c r="S10" i="7" l="1"/>
  <c r="S12" i="7" s="1"/>
  <c r="B14" i="3"/>
  <c r="B16" i="3"/>
  <c r="E22" i="3"/>
  <c r="D22" i="3"/>
  <c r="G22" i="3" s="1"/>
  <c r="K26" i="3" s="1"/>
  <c r="G20" i="3"/>
  <c r="D20" i="3"/>
  <c r="E20" i="3"/>
  <c r="B18" i="3"/>
  <c r="B20" i="6"/>
  <c r="D22" i="6"/>
  <c r="G22" i="6" s="1"/>
  <c r="K26" i="6" s="1"/>
  <c r="E22" i="6"/>
  <c r="E14" i="6"/>
  <c r="D14" i="6"/>
  <c r="G14" i="6" s="1"/>
  <c r="B18" i="6"/>
  <c r="B16" i="6"/>
  <c r="C26" i="6"/>
  <c r="A18" i="5"/>
  <c r="I22" i="5"/>
  <c r="F16" i="5"/>
  <c r="C22" i="5" s="1"/>
  <c r="C16" i="5"/>
  <c r="D16" i="5"/>
  <c r="D26" i="5"/>
  <c r="C14" i="5"/>
  <c r="F14" i="5" s="1"/>
  <c r="A22" i="5" s="1"/>
  <c r="M11" i="2"/>
  <c r="R11" i="2" s="1"/>
  <c r="X11" i="2" s="1"/>
  <c r="Z11" i="2" s="1"/>
  <c r="T13" i="2" s="1"/>
  <c r="S14" i="1"/>
  <c r="V12" i="1"/>
  <c r="X8" i="1"/>
  <c r="W8" i="1"/>
  <c r="V8" i="1"/>
  <c r="U8" i="1"/>
  <c r="T8" i="1"/>
  <c r="S8" i="1"/>
  <c r="R8" i="1"/>
  <c r="Q8" i="1"/>
  <c r="P8" i="1"/>
  <c r="O8" i="1"/>
  <c r="N8" i="1"/>
  <c r="M8" i="1"/>
  <c r="L8" i="1"/>
  <c r="I8" i="1"/>
  <c r="H8" i="1"/>
  <c r="G8" i="1"/>
  <c r="F8" i="1"/>
  <c r="E8" i="1"/>
  <c r="D8" i="1"/>
  <c r="C8" i="1"/>
  <c r="B8" i="1"/>
  <c r="K8" i="1"/>
  <c r="J8" i="1"/>
  <c r="A8" i="1"/>
  <c r="X10" i="7" l="1"/>
  <c r="S11" i="7" s="1"/>
  <c r="X11" i="7" s="1"/>
  <c r="V12" i="7" s="1"/>
  <c r="X12" i="7" s="1"/>
  <c r="V13" i="7" s="1"/>
  <c r="X13" i="7" s="1"/>
  <c r="U15" i="7" s="1"/>
  <c r="R21" i="7" s="1"/>
  <c r="R22" i="7" s="1"/>
  <c r="E18" i="3"/>
  <c r="D18" i="3"/>
  <c r="G18" i="3" s="1"/>
  <c r="G26" i="3" s="1"/>
  <c r="E16" i="3"/>
  <c r="D16" i="3"/>
  <c r="G16" i="3" s="1"/>
  <c r="E26" i="3" s="1"/>
  <c r="E14" i="3"/>
  <c r="D14" i="3"/>
  <c r="G14" i="3" s="1"/>
  <c r="C26" i="3" s="1"/>
  <c r="E18" i="6"/>
  <c r="D18" i="6"/>
  <c r="G18" i="6" s="1"/>
  <c r="G26" i="6" s="1"/>
  <c r="E20" i="6"/>
  <c r="D20" i="6"/>
  <c r="G20" i="6" s="1"/>
  <c r="I26" i="6" s="1"/>
  <c r="E16" i="6"/>
  <c r="D16" i="6"/>
  <c r="G16" i="6" s="1"/>
  <c r="E26" i="6" s="1"/>
  <c r="L22" i="5"/>
  <c r="F26" i="5" s="1"/>
  <c r="H26" i="5" s="1"/>
  <c r="F28" i="5" s="1"/>
  <c r="D18" i="5"/>
  <c r="C18" i="5"/>
  <c r="F18" i="5" s="1"/>
  <c r="S11" i="1"/>
  <c r="L11" i="1"/>
  <c r="Y16" i="7" l="1"/>
  <c r="N26" i="3"/>
  <c r="G30" i="3" s="1"/>
  <c r="I30" i="3" s="1"/>
  <c r="G32" i="3" s="1"/>
  <c r="N26" i="6"/>
  <c r="G30" i="6" s="1"/>
  <c r="I30" i="6" s="1"/>
  <c r="G32" i="6" s="1"/>
  <c r="X11" i="1"/>
  <c r="S12" i="1" s="1"/>
  <c r="X12" i="1" s="1"/>
  <c r="V13" i="1" s="1"/>
  <c r="S13" i="1"/>
  <c r="X13" i="1" l="1"/>
  <c r="V14" i="1" l="1"/>
  <c r="X14" i="1" s="1"/>
  <c r="U16" i="1" s="1"/>
</calcChain>
</file>

<file path=xl/sharedStrings.xml><?xml version="1.0" encoding="utf-8"?>
<sst xmlns="http://schemas.openxmlformats.org/spreadsheetml/2006/main" count="422" uniqueCount="87">
  <si>
    <t>Cálculo para encontrar o DV do campo livre – Módulo 11</t>
  </si>
  <si>
    <t>Tipo de carteira "sempre 1"</t>
  </si>
  <si>
    <t>Nosso número</t>
  </si>
  <si>
    <t>Agência</t>
  </si>
  <si>
    <t>Posto</t>
  </si>
  <si>
    <t>Cedente</t>
  </si>
  <si>
    <t>Sempre zero</t>
  </si>
  <si>
    <t></t>
  </si>
  <si>
    <t>CAMPO LIVRE</t>
  </si>
  <si>
    <t>X</t>
  </si>
  <si>
    <t>PESOS</t>
  </si>
  <si>
    <t>=</t>
  </si>
  <si>
    <t>MULTIPLICAÇÕES</t>
  </si>
  <si>
    <t xml:space="preserve">Soma das multiplicações = </t>
  </si>
  <si>
    <t></t>
  </si>
  <si>
    <t>/</t>
  </si>
  <si>
    <t>-</t>
  </si>
  <si>
    <t>DV</t>
  </si>
  <si>
    <t>FÓRMULA PARA CÁLCULO DO DV GERAL – Módulo 11</t>
  </si>
  <si>
    <t>Ver legenda</t>
  </si>
  <si>
    <t>Banco</t>
  </si>
  <si>
    <t>Fator de vencimento</t>
  </si>
  <si>
    <t>Valor do Título</t>
  </si>
  <si>
    <t xml:space="preserve"> agência </t>
  </si>
  <si>
    <t>Código do cedente</t>
  </si>
  <si>
    <t>1 ou 0</t>
  </si>
  <si>
    <t>Digito verificador do campo livre</t>
  </si>
  <si>
    <t>Pesos 2 a 9 da direita para esquerda</t>
  </si>
  <si>
    <t>Multiplicação dos valores da linha 6 pela linha 5</t>
  </si>
  <si>
    <t>&gt;&gt;&gt;</t>
  </si>
  <si>
    <t xml:space="preserve">DV = </t>
  </si>
  <si>
    <t>Legenda de Dados (código de barras) para o Cálculo do DV Geral</t>
  </si>
  <si>
    <t>Identificação do banco (sempre 748)</t>
  </si>
  <si>
    <t>Código da moeda (sempre 9)</t>
  </si>
  <si>
    <t>Valor do título</t>
  </si>
  <si>
    <t>Tipo de carteira (sempre 1 = carteira simples)</t>
  </si>
  <si>
    <t>Código da agência onde o cedente possui a conta</t>
  </si>
  <si>
    <t>Posto da agência onde o cedente possui a conta</t>
  </si>
  <si>
    <t>Código do cedente = número da conta sem o DV</t>
  </si>
  <si>
    <t>Tipo de cobrança (1 = com registro)</t>
  </si>
  <si>
    <t>Condição de valor: 1</t>
  </si>
  <si>
    <t>Cálculo para encontrar o DV do 3º campo – Módulo 10</t>
  </si>
  <si>
    <t>DV do campo livre</t>
  </si>
  <si>
    <t>Dados do 3º campo</t>
  </si>
  <si>
    <t>Pesos</t>
  </si>
  <si>
    <t>Multiplicações</t>
  </si>
  <si>
    <t>Se o resultado da multiplicação for maior ou igual a 10, os dois dígitos devem ser somados.</t>
  </si>
  <si>
    <t>C7</t>
  </si>
  <si>
    <t>E7</t>
  </si>
  <si>
    <t>G7</t>
  </si>
  <si>
    <t>I7</t>
  </si>
  <si>
    <t>K7</t>
  </si>
  <si>
    <t>Substituindo os valores com dois dígitos pela soma deles:</t>
  </si>
  <si>
    <t>Somatório</t>
  </si>
  <si>
    <t>Digite o múltiplo de 10 que seja maior ou igual ao somatório:</t>
  </si>
  <si>
    <t>Subtraindo:</t>
  </si>
  <si>
    <t xml:space="preserve">DV do 3º campo: </t>
  </si>
  <si>
    <t>Cálculo para encontrar o Fator de Vencimento</t>
  </si>
  <si>
    <t>Vencimento</t>
  </si>
  <si>
    <t>Data Base</t>
  </si>
  <si>
    <t>Cálculo para encontrar o DV do 1º campo – Módulo 10</t>
  </si>
  <si>
    <t>Número do banco (sempre 748)</t>
  </si>
  <si>
    <t>Moeda (sempre 9)</t>
  </si>
  <si>
    <t>Tipo de carteira (sempre 1)</t>
  </si>
  <si>
    <t>Três primeiros dígitos do nosso número</t>
  </si>
  <si>
    <t>Dados do 1º campo</t>
  </si>
  <si>
    <t xml:space="preserve">DV do 1º campo: </t>
  </si>
  <si>
    <t>Cálculo para encontrar o DV do 2º campo – Módulo 10</t>
  </si>
  <si>
    <t>Seis últimas posições do nosso número (5 sequenciais e 1 DV)</t>
  </si>
  <si>
    <t>Código de agência</t>
  </si>
  <si>
    <t>Dados do 2º campo</t>
  </si>
  <si>
    <t xml:space="preserve">DV do 2º campo: </t>
  </si>
  <si>
    <t>Tipo cobrança 1=Com registro</t>
  </si>
  <si>
    <t>1=com valor</t>
  </si>
  <si>
    <t>Ano</t>
  </si>
  <si>
    <t>Byte</t>
  </si>
  <si>
    <t>Seqüencial</t>
  </si>
  <si>
    <t>Descrição de campos</t>
  </si>
  <si>
    <t>DADOS</t>
  </si>
  <si>
    <t xml:space="preserve">NOSSO NÚMERO </t>
  </si>
  <si>
    <t>DIGITO VERIFICADOR</t>
  </si>
  <si>
    <t>NOSSO NÚMERO - DV</t>
  </si>
  <si>
    <t>Tipo de cobrança 1=Com Registro</t>
  </si>
  <si>
    <t>preencher com o vencimento desejado e teclar “enter”</t>
  </si>
  <si>
    <t>Digite a data de vencimento com as barras, para datas até 21/02/2025.</t>
  </si>
  <si>
    <t>Digite a data de vencimento com as barras, para datas a partir de 22/02/2025.</t>
  </si>
  <si>
    <r>
      <rPr>
        <b/>
        <sz val="10"/>
        <color theme="1"/>
        <rFont val="Calibri"/>
        <family val="2"/>
        <scheme val="minor"/>
      </rPr>
      <t xml:space="preserve">Atenção! </t>
    </r>
    <r>
      <rPr>
        <sz val="10"/>
        <color theme="1"/>
        <rFont val="Calibri"/>
        <family val="2"/>
        <scheme val="minor"/>
      </rPr>
      <t>Esta calculadora é apenas para conferencia do resultado do valor do fator de vencimento, deve ser seguir a instrução do manual CNAB e utilizar a tabela para vencimentos a partir de 22/02/2025.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</si>
</sst>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Wingdings"/>
      <charset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i/>
      <sz val="11"/>
      <color indexed="8"/>
      <name val="Arial"/>
      <family val="2"/>
    </font>
    <font>
      <sz val="11"/>
      <name val="Arial"/>
      <family val="2"/>
    </font>
    <font>
      <sz val="10"/>
      <name val="Wingdings"/>
      <charset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b/>
      <sz val="26"/>
      <color indexed="8"/>
      <name val="Arial"/>
      <family val="2"/>
    </font>
    <font>
      <b/>
      <sz val="20"/>
      <color indexed="8"/>
      <name val="Arial"/>
      <family val="2"/>
    </font>
    <font>
      <sz val="9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sz val="9"/>
      <color indexed="8"/>
      <name val="Arial Black"/>
      <family val="2"/>
      <charset val="1"/>
    </font>
    <font>
      <sz val="9"/>
      <name val="Arial"/>
      <family val="2"/>
      <charset val="1"/>
    </font>
    <font>
      <sz val="9"/>
      <name val="Arial Black"/>
      <family val="2"/>
      <charset val="1"/>
    </font>
    <font>
      <sz val="7"/>
      <name val="Arial"/>
      <family val="2"/>
      <charset val="1"/>
    </font>
    <font>
      <b/>
      <sz val="9"/>
      <color indexed="8"/>
      <name val="Arial"/>
      <family val="2"/>
      <charset val="1"/>
    </font>
    <font>
      <b/>
      <sz val="9"/>
      <color indexed="8"/>
      <name val="Arial Black"/>
      <family val="2"/>
      <charset val="1"/>
    </font>
    <font>
      <sz val="9"/>
      <color indexed="18"/>
      <name val="Arial Black"/>
      <family val="2"/>
      <charset val="1"/>
    </font>
    <font>
      <b/>
      <sz val="18"/>
      <color indexed="8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color indexed="8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2" tint="-0.249977111117893"/>
        <bgColor indexed="26"/>
      </patternFill>
    </fill>
    <fill>
      <patternFill patternType="solid">
        <fgColor theme="5" tint="0.59999389629810485"/>
        <bgColor indexed="26"/>
      </patternFill>
    </fill>
    <fill>
      <patternFill patternType="solid">
        <fgColor theme="2" tint="-9.9978637043366805E-2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10"/>
      </patternFill>
    </fill>
    <fill>
      <patternFill patternType="solid">
        <fgColor theme="9" tint="0.59999389629810485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57"/>
      </patternFill>
    </fill>
    <fill>
      <patternFill patternType="solid">
        <fgColor theme="9" tint="0.39997558519241921"/>
        <bgColor indexed="5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26"/>
      </patternFill>
    </fill>
    <fill>
      <patternFill patternType="solid">
        <fgColor theme="7" tint="0.59999389629810485"/>
        <bgColor indexed="57"/>
      </patternFill>
    </fill>
    <fill>
      <patternFill patternType="solid">
        <fgColor theme="9" tint="0.39997558519241921"/>
        <bgColor indexed="22"/>
      </patternFill>
    </fill>
    <fill>
      <patternFill patternType="solid">
        <fgColor theme="5" tint="0.39997558519241921"/>
        <bgColor indexed="1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55"/>
      </patternFill>
    </fill>
    <fill>
      <patternFill patternType="solid">
        <fgColor theme="5" tint="0.59999389629810485"/>
        <bgColor indexed="31"/>
      </patternFill>
    </fill>
    <fill>
      <patternFill patternType="solid">
        <fgColor theme="5" tint="0.59999389629810485"/>
        <bgColor indexed="9"/>
      </patternFill>
    </fill>
    <fill>
      <patternFill patternType="solid">
        <fgColor theme="5" tint="0.59999389629810485"/>
        <bgColor indexed="51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5" tint="0.59999389629810485"/>
        <bgColor indexed="34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9" tint="0.59999389629810485"/>
        <bgColor indexed="10"/>
      </patternFill>
    </fill>
    <fill>
      <patternFill patternType="solid">
        <fgColor theme="5" tint="0.59999389629810485"/>
        <bgColor indexed="10"/>
      </patternFill>
    </fill>
    <fill>
      <patternFill patternType="solid">
        <fgColor theme="5" tint="0.59999389629810485"/>
        <bgColor indexed="57"/>
      </patternFill>
    </fill>
    <fill>
      <patternFill patternType="solid">
        <fgColor theme="9" tint="0.39997558519241921"/>
        <bgColor indexed="26"/>
      </patternFill>
    </fill>
    <fill>
      <patternFill patternType="solid">
        <fgColor theme="5" tint="0.59999389629810485"/>
        <bgColor indexed="4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10"/>
      </patternFill>
    </fill>
    <fill>
      <patternFill patternType="solid">
        <fgColor theme="2" tint="-9.9978637043366805E-2"/>
        <bgColor indexed="22"/>
      </patternFill>
    </fill>
    <fill>
      <patternFill patternType="solid">
        <fgColor rgb="FFFFFF00"/>
        <bgColor indexed="5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7" tint="0.79998168889431442"/>
        <bgColor indexed="26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7" fillId="0" borderId="0"/>
  </cellStyleXfs>
  <cellXfs count="310">
    <xf numFmtId="0" fontId="0" fillId="0" borderId="0" xfId="0"/>
    <xf numFmtId="0" fontId="2" fillId="0" borderId="0" xfId="0" applyFont="1"/>
    <xf numFmtId="0" fontId="5" fillId="0" borderId="3" xfId="0" applyFont="1" applyBorder="1" applyAlignment="1">
      <alignment horizontal="center"/>
    </xf>
    <xf numFmtId="0" fontId="2" fillId="0" borderId="3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21" fillId="3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29" fillId="0" borderId="0" xfId="0" applyFont="1"/>
    <xf numFmtId="0" fontId="29" fillId="2" borderId="1" xfId="0" applyFon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1" fillId="0" borderId="0" xfId="0" applyFont="1"/>
    <xf numFmtId="0" fontId="33" fillId="0" borderId="0" xfId="0" applyFont="1"/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23" fillId="6" borderId="14" xfId="0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center"/>
    </xf>
    <xf numFmtId="0" fontId="20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7" fillId="0" borderId="0" xfId="1" applyProtection="1">
      <protection hidden="1"/>
    </xf>
    <xf numFmtId="0" fontId="2" fillId="0" borderId="0" xfId="1" applyFont="1" applyProtection="1">
      <protection hidden="1"/>
    </xf>
    <xf numFmtId="0" fontId="12" fillId="0" borderId="0" xfId="1" applyFont="1" applyProtection="1">
      <protection hidden="1"/>
    </xf>
    <xf numFmtId="0" fontId="39" fillId="7" borderId="0" xfId="1" applyFont="1" applyFill="1" applyAlignment="1" applyProtection="1">
      <alignment horizontal="center"/>
      <protection hidden="1"/>
    </xf>
    <xf numFmtId="0" fontId="37" fillId="0" borderId="0" xfId="1" applyAlignment="1" applyProtection="1">
      <alignment horizontal="center"/>
      <protection hidden="1"/>
    </xf>
    <xf numFmtId="0" fontId="8" fillId="8" borderId="0" xfId="1" applyFont="1" applyFill="1" applyAlignment="1" applyProtection="1">
      <alignment horizontal="center"/>
      <protection hidden="1"/>
    </xf>
    <xf numFmtId="0" fontId="8" fillId="8" borderId="4" xfId="1" applyFont="1" applyFill="1" applyBorder="1" applyAlignment="1" applyProtection="1">
      <alignment horizontal="center"/>
      <protection hidden="1"/>
    </xf>
    <xf numFmtId="0" fontId="8" fillId="8" borderId="5" xfId="1" applyFont="1" applyFill="1" applyBorder="1" applyAlignment="1" applyProtection="1">
      <alignment horizontal="center"/>
      <protection hidden="1"/>
    </xf>
    <xf numFmtId="0" fontId="8" fillId="8" borderId="6" xfId="1" applyFont="1" applyFill="1" applyBorder="1" applyAlignment="1" applyProtection="1">
      <alignment horizontal="center"/>
      <protection hidden="1"/>
    </xf>
    <xf numFmtId="0" fontId="5" fillId="8" borderId="4" xfId="1" applyFont="1" applyFill="1" applyBorder="1" applyAlignment="1" applyProtection="1">
      <alignment horizontal="center"/>
      <protection hidden="1"/>
    </xf>
    <xf numFmtId="0" fontId="4" fillId="10" borderId="24" xfId="1" applyFont="1" applyFill="1" applyBorder="1" applyAlignment="1" applyProtection="1">
      <alignment horizontal="center"/>
      <protection hidden="1"/>
    </xf>
    <xf numFmtId="0" fontId="4" fillId="10" borderId="25" xfId="1" applyFont="1" applyFill="1" applyBorder="1" applyAlignment="1" applyProtection="1">
      <alignment horizontal="center"/>
      <protection hidden="1"/>
    </xf>
    <xf numFmtId="0" fontId="4" fillId="10" borderId="14" xfId="1" applyFont="1" applyFill="1" applyBorder="1" applyAlignment="1" applyProtection="1">
      <alignment horizontal="center"/>
      <protection hidden="1"/>
    </xf>
    <xf numFmtId="0" fontId="4" fillId="10" borderId="26" xfId="1" applyFont="1" applyFill="1" applyBorder="1" applyAlignment="1" applyProtection="1">
      <alignment horizontal="center"/>
      <protection hidden="1"/>
    </xf>
    <xf numFmtId="0" fontId="5" fillId="10" borderId="25" xfId="1" applyFont="1" applyFill="1" applyBorder="1" applyAlignment="1" applyProtection="1">
      <alignment horizontal="center"/>
      <protection hidden="1"/>
    </xf>
    <xf numFmtId="0" fontId="5" fillId="11" borderId="21" xfId="1" applyFont="1" applyFill="1" applyBorder="1" applyAlignment="1" applyProtection="1">
      <alignment horizontal="center"/>
      <protection hidden="1"/>
    </xf>
    <xf numFmtId="0" fontId="5" fillId="12" borderId="27" xfId="1" applyFont="1" applyFill="1" applyBorder="1" applyAlignment="1" applyProtection="1">
      <alignment horizontal="center"/>
      <protection hidden="1"/>
    </xf>
    <xf numFmtId="0" fontId="12" fillId="12" borderId="22" xfId="1" applyFont="1" applyFill="1" applyBorder="1" applyAlignment="1" applyProtection="1">
      <alignment horizontal="center"/>
      <protection hidden="1"/>
    </xf>
    <xf numFmtId="0" fontId="5" fillId="12" borderId="29" xfId="1" applyFont="1" applyFill="1" applyBorder="1" applyAlignment="1" applyProtection="1">
      <alignment horizontal="center"/>
      <protection hidden="1"/>
    </xf>
    <xf numFmtId="0" fontId="12" fillId="12" borderId="0" xfId="1" applyFont="1" applyFill="1" applyAlignment="1" applyProtection="1">
      <alignment horizontal="center"/>
      <protection hidden="1"/>
    </xf>
    <xf numFmtId="0" fontId="5" fillId="12" borderId="31" xfId="1" applyFont="1" applyFill="1" applyBorder="1" applyAlignment="1" applyProtection="1">
      <alignment horizontal="center"/>
      <protection hidden="1"/>
    </xf>
    <xf numFmtId="0" fontId="12" fillId="12" borderId="32" xfId="1" applyFont="1" applyFill="1" applyBorder="1" applyAlignment="1" applyProtection="1">
      <alignment horizontal="center"/>
      <protection hidden="1"/>
    </xf>
    <xf numFmtId="0" fontId="8" fillId="15" borderId="0" xfId="1" applyFont="1" applyFill="1" applyAlignment="1" applyProtection="1">
      <alignment horizontal="center"/>
      <protection hidden="1"/>
    </xf>
    <xf numFmtId="0" fontId="8" fillId="15" borderId="4" xfId="1" applyFont="1" applyFill="1" applyBorder="1" applyAlignment="1" applyProtection="1">
      <alignment horizontal="center"/>
      <protection hidden="1"/>
    </xf>
    <xf numFmtId="0" fontId="8" fillId="15" borderId="5" xfId="1" applyFont="1" applyFill="1" applyBorder="1" applyAlignment="1" applyProtection="1">
      <alignment horizontal="center"/>
      <protection hidden="1"/>
    </xf>
    <xf numFmtId="0" fontId="8" fillId="15" borderId="6" xfId="1" applyFont="1" applyFill="1" applyBorder="1" applyAlignment="1" applyProtection="1">
      <alignment horizontal="center"/>
      <protection hidden="1"/>
    </xf>
    <xf numFmtId="0" fontId="5" fillId="15" borderId="4" xfId="1" applyFont="1" applyFill="1" applyBorder="1" applyAlignment="1" applyProtection="1">
      <alignment horizontal="center"/>
      <protection hidden="1"/>
    </xf>
    <xf numFmtId="0" fontId="7" fillId="15" borderId="0" xfId="1" applyFont="1" applyFill="1" applyAlignment="1" applyProtection="1">
      <alignment horizontal="center"/>
      <protection hidden="1"/>
    </xf>
    <xf numFmtId="0" fontId="7" fillId="15" borderId="4" xfId="1" applyFont="1" applyFill="1" applyBorder="1" applyAlignment="1" applyProtection="1">
      <alignment horizontal="center"/>
      <protection hidden="1"/>
    </xf>
    <xf numFmtId="0" fontId="7" fillId="15" borderId="5" xfId="1" applyFont="1" applyFill="1" applyBorder="1" applyAlignment="1" applyProtection="1">
      <alignment horizontal="center"/>
      <protection hidden="1"/>
    </xf>
    <xf numFmtId="0" fontId="7" fillId="15" borderId="6" xfId="1" applyFont="1" applyFill="1" applyBorder="1" applyAlignment="1" applyProtection="1">
      <alignment horizontal="center"/>
      <protection hidden="1"/>
    </xf>
    <xf numFmtId="0" fontId="38" fillId="16" borderId="19" xfId="1" applyFont="1" applyFill="1" applyBorder="1" applyAlignment="1" applyProtection="1">
      <alignment horizontal="center" vertical="center"/>
      <protection locked="0"/>
    </xf>
    <xf numFmtId="0" fontId="38" fillId="16" borderId="20" xfId="1" applyFont="1" applyFill="1" applyBorder="1" applyAlignment="1" applyProtection="1">
      <alignment horizontal="center" vertical="center"/>
      <protection locked="0"/>
    </xf>
    <xf numFmtId="0" fontId="4" fillId="17" borderId="6" xfId="1" applyFont="1" applyFill="1" applyBorder="1" applyAlignment="1" applyProtection="1">
      <alignment horizontal="center" vertical="center"/>
      <protection locked="0"/>
    </xf>
    <xf numFmtId="0" fontId="4" fillId="17" borderId="5" xfId="1" applyFont="1" applyFill="1" applyBorder="1" applyAlignment="1" applyProtection="1">
      <alignment horizontal="center" vertical="center"/>
      <protection locked="0"/>
    </xf>
    <xf numFmtId="0" fontId="11" fillId="15" borderId="1" xfId="1" applyFont="1" applyFill="1" applyBorder="1" applyProtection="1">
      <protection hidden="1"/>
    </xf>
    <xf numFmtId="0" fontId="4" fillId="6" borderId="1" xfId="0" applyFont="1" applyFill="1" applyBorder="1" applyAlignment="1" applyProtection="1">
      <alignment horizontal="center"/>
      <protection locked="0"/>
    </xf>
    <xf numFmtId="0" fontId="4" fillId="17" borderId="2" xfId="0" applyFont="1" applyFill="1" applyBorder="1" applyAlignment="1" applyProtection="1">
      <alignment horizontal="center"/>
      <protection locked="0"/>
    </xf>
    <xf numFmtId="0" fontId="7" fillId="9" borderId="3" xfId="0" applyFont="1" applyFill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2" fillId="19" borderId="0" xfId="0" applyFont="1" applyFill="1"/>
    <xf numFmtId="0" fontId="8" fillId="9" borderId="0" xfId="0" applyFont="1" applyFill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9" fillId="20" borderId="0" xfId="0" applyFont="1" applyFill="1" applyAlignment="1">
      <alignment horizontal="center"/>
    </xf>
    <xf numFmtId="0" fontId="10" fillId="20" borderId="0" xfId="0" applyFont="1" applyFill="1" applyAlignment="1">
      <alignment horizontal="center"/>
    </xf>
    <xf numFmtId="0" fontId="5" fillId="17" borderId="0" xfId="0" applyFont="1" applyFill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20" fillId="22" borderId="12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20" fillId="24" borderId="12" xfId="0" applyFont="1" applyFill="1" applyBorder="1" applyAlignment="1">
      <alignment horizontal="center" vertical="center"/>
    </xf>
    <xf numFmtId="0" fontId="20" fillId="25" borderId="12" xfId="0" applyFont="1" applyFill="1" applyBorder="1" applyAlignment="1">
      <alignment horizontal="center" vertical="center"/>
    </xf>
    <xf numFmtId="0" fontId="20" fillId="26" borderId="12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20" fillId="27" borderId="12" xfId="0" applyFont="1" applyFill="1" applyBorder="1" applyAlignment="1">
      <alignment horizontal="center" vertical="center"/>
    </xf>
    <xf numFmtId="0" fontId="28" fillId="23" borderId="0" xfId="0" applyFont="1" applyFill="1"/>
    <xf numFmtId="0" fontId="17" fillId="9" borderId="1" xfId="0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0" fontId="23" fillId="17" borderId="14" xfId="0" applyFont="1" applyFill="1" applyBorder="1" applyAlignment="1" applyProtection="1">
      <alignment horizontal="center" vertical="center"/>
      <protection locked="0"/>
    </xf>
    <xf numFmtId="0" fontId="41" fillId="12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3" fillId="6" borderId="25" xfId="0" applyFont="1" applyFill="1" applyBorder="1" applyAlignment="1" applyProtection="1">
      <alignment horizontal="center" vertical="center"/>
      <protection locked="0"/>
    </xf>
    <xf numFmtId="0" fontId="17" fillId="28" borderId="14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23" fillId="17" borderId="34" xfId="0" applyFont="1" applyFill="1" applyBorder="1" applyAlignment="1" applyProtection="1">
      <alignment horizontal="center" vertical="center"/>
      <protection locked="0"/>
    </xf>
    <xf numFmtId="0" fontId="11" fillId="4" borderId="10" xfId="0" applyFont="1" applyFill="1" applyBorder="1" applyAlignment="1" applyProtection="1">
      <alignment horizontal="center"/>
      <protection locked="0"/>
    </xf>
    <xf numFmtId="0" fontId="11" fillId="4" borderId="3" xfId="0" applyFont="1" applyFill="1" applyBorder="1" applyAlignment="1" applyProtection="1">
      <alignment horizontal="center"/>
      <protection locked="0"/>
    </xf>
    <xf numFmtId="0" fontId="11" fillId="4" borderId="11" xfId="0" applyFont="1" applyFill="1" applyBorder="1" applyAlignment="1" applyProtection="1">
      <alignment horizontal="center"/>
      <protection locked="0"/>
    </xf>
    <xf numFmtId="0" fontId="11" fillId="4" borderId="12" xfId="0" applyFont="1" applyFill="1" applyBorder="1" applyAlignment="1" applyProtection="1">
      <alignment horizontal="center"/>
      <protection locked="0"/>
    </xf>
    <xf numFmtId="0" fontId="0" fillId="9" borderId="9" xfId="0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11" fillId="17" borderId="13" xfId="0" applyFont="1" applyFill="1" applyBorder="1" applyAlignment="1" applyProtection="1">
      <alignment horizontal="center"/>
      <protection locked="0"/>
    </xf>
    <xf numFmtId="0" fontId="0" fillId="30" borderId="9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30" fillId="31" borderId="2" xfId="0" applyFont="1" applyFill="1" applyBorder="1" applyAlignment="1">
      <alignment horizontal="center"/>
    </xf>
    <xf numFmtId="0" fontId="30" fillId="31" borderId="8" xfId="0" applyFont="1" applyFill="1" applyBorder="1" applyAlignment="1">
      <alignment horizontal="center"/>
    </xf>
    <xf numFmtId="0" fontId="29" fillId="17" borderId="1" xfId="0" applyFont="1" applyFill="1" applyBorder="1" applyAlignment="1" applyProtection="1">
      <alignment horizontal="center"/>
      <protection locked="0"/>
    </xf>
    <xf numFmtId="0" fontId="14" fillId="15" borderId="0" xfId="0" applyFont="1" applyFill="1" applyAlignment="1">
      <alignment horizontal="center" wrapText="1"/>
    </xf>
    <xf numFmtId="0" fontId="14" fillId="15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29" fillId="14" borderId="1" xfId="0" applyFont="1" applyFill="1" applyBorder="1" applyAlignment="1">
      <alignment horizontal="center"/>
    </xf>
    <xf numFmtId="0" fontId="14" fillId="33" borderId="1" xfId="0" applyFont="1" applyFill="1" applyBorder="1" applyAlignment="1">
      <alignment horizontal="center"/>
    </xf>
    <xf numFmtId="0" fontId="14" fillId="33" borderId="9" xfId="0" applyFont="1" applyFill="1" applyBorder="1" applyAlignment="1">
      <alignment horizontal="center"/>
    </xf>
    <xf numFmtId="0" fontId="12" fillId="33" borderId="9" xfId="0" applyFont="1" applyFill="1" applyBorder="1" applyAlignment="1">
      <alignment horizontal="center"/>
    </xf>
    <xf numFmtId="0" fontId="14" fillId="15" borderId="9" xfId="0" applyFont="1" applyFill="1" applyBorder="1"/>
    <xf numFmtId="0" fontId="14" fillId="15" borderId="9" xfId="0" applyFont="1" applyFill="1" applyBorder="1" applyAlignment="1">
      <alignment horizontal="center" wrapText="1"/>
    </xf>
    <xf numFmtId="0" fontId="14" fillId="15" borderId="9" xfId="0" applyFont="1" applyFill="1" applyBorder="1" applyAlignment="1">
      <alignment horizontal="center"/>
    </xf>
    <xf numFmtId="0" fontId="11" fillId="17" borderId="9" xfId="0" applyFont="1" applyFill="1" applyBorder="1" applyAlignment="1" applyProtection="1">
      <alignment horizontal="center"/>
      <protection locked="0"/>
    </xf>
    <xf numFmtId="0" fontId="11" fillId="17" borderId="10" xfId="0" applyFont="1" applyFill="1" applyBorder="1" applyAlignment="1" applyProtection="1">
      <alignment horizontal="center"/>
      <protection locked="0"/>
    </xf>
    <xf numFmtId="0" fontId="11" fillId="17" borderId="3" xfId="0" applyFont="1" applyFill="1" applyBorder="1" applyAlignment="1" applyProtection="1">
      <alignment horizontal="center"/>
      <protection locked="0"/>
    </xf>
    <xf numFmtId="0" fontId="8" fillId="9" borderId="13" xfId="0" applyFont="1" applyFill="1" applyBorder="1" applyAlignment="1">
      <alignment horizontal="center"/>
    </xf>
    <xf numFmtId="0" fontId="14" fillId="12" borderId="0" xfId="0" applyFont="1" applyFill="1"/>
    <xf numFmtId="0" fontId="14" fillId="12" borderId="0" xfId="0" applyFont="1" applyFill="1" applyAlignment="1">
      <alignment horizontal="center" wrapText="1"/>
    </xf>
    <xf numFmtId="0" fontId="14" fillId="12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4" fillId="12" borderId="9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11" fillId="6" borderId="12" xfId="0" applyFont="1" applyFill="1" applyBorder="1" applyAlignment="1" applyProtection="1">
      <alignment horizontal="center"/>
      <protection locked="0"/>
    </xf>
    <xf numFmtId="0" fontId="0" fillId="9" borderId="13" xfId="0" applyFill="1" applyBorder="1" applyAlignment="1">
      <alignment horizontal="center"/>
    </xf>
    <xf numFmtId="0" fontId="0" fillId="28" borderId="9" xfId="0" applyFill="1" applyBorder="1" applyAlignment="1">
      <alignment horizontal="center"/>
    </xf>
    <xf numFmtId="0" fontId="8" fillId="9" borderId="35" xfId="0" applyFont="1" applyFill="1" applyBorder="1" applyAlignment="1">
      <alignment horizontal="center"/>
    </xf>
    <xf numFmtId="0" fontId="14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4" fillId="34" borderId="9" xfId="0" applyFont="1" applyFill="1" applyBorder="1" applyAlignment="1">
      <alignment horizontal="center"/>
    </xf>
    <xf numFmtId="0" fontId="32" fillId="12" borderId="1" xfId="0" applyFont="1" applyFill="1" applyBorder="1" applyAlignment="1">
      <alignment horizontal="center"/>
    </xf>
    <xf numFmtId="0" fontId="12" fillId="35" borderId="1" xfId="0" applyFont="1" applyFill="1" applyBorder="1" applyAlignment="1">
      <alignment horizontal="center"/>
    </xf>
    <xf numFmtId="0" fontId="14" fillId="36" borderId="1" xfId="0" applyFont="1" applyFill="1" applyBorder="1" applyAlignment="1">
      <alignment horizontal="center"/>
    </xf>
    <xf numFmtId="14" fontId="32" fillId="36" borderId="1" xfId="0" applyNumberFormat="1" applyFont="1" applyFill="1" applyBorder="1" applyAlignment="1">
      <alignment horizontal="center"/>
    </xf>
    <xf numFmtId="0" fontId="29" fillId="37" borderId="1" xfId="0" applyFont="1" applyFill="1" applyBorder="1" applyAlignment="1">
      <alignment horizontal="center"/>
    </xf>
    <xf numFmtId="0" fontId="14" fillId="12" borderId="16" xfId="0" applyFont="1" applyFill="1" applyBorder="1"/>
    <xf numFmtId="0" fontId="14" fillId="12" borderId="17" xfId="0" applyFont="1" applyFill="1" applyBorder="1" applyAlignment="1">
      <alignment horizontal="center" wrapText="1"/>
    </xf>
    <xf numFmtId="0" fontId="14" fillId="12" borderId="17" xfId="0" applyFont="1" applyFill="1" applyBorder="1" applyAlignment="1">
      <alignment horizontal="center"/>
    </xf>
    <xf numFmtId="0" fontId="12" fillId="12" borderId="17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 wrapText="1"/>
    </xf>
    <xf numFmtId="0" fontId="14" fillId="41" borderId="1" xfId="0" applyFont="1" applyFill="1" applyBorder="1" applyAlignment="1">
      <alignment horizontal="center"/>
    </xf>
    <xf numFmtId="14" fontId="32" fillId="41" borderId="1" xfId="0" applyNumberFormat="1" applyFont="1" applyFill="1" applyBorder="1" applyAlignment="1" applyProtection="1">
      <alignment horizontal="center"/>
      <protection locked="0"/>
    </xf>
    <xf numFmtId="0" fontId="14" fillId="42" borderId="1" xfId="0" applyFont="1" applyFill="1" applyBorder="1" applyAlignment="1">
      <alignment horizontal="center"/>
    </xf>
    <xf numFmtId="14" fontId="32" fillId="42" borderId="1" xfId="0" applyNumberFormat="1" applyFont="1" applyFill="1" applyBorder="1" applyAlignment="1" applyProtection="1">
      <alignment horizontal="center"/>
      <protection locked="0"/>
    </xf>
    <xf numFmtId="0" fontId="38" fillId="15" borderId="31" xfId="1" applyFont="1" applyFill="1" applyBorder="1" applyProtection="1">
      <protection hidden="1"/>
    </xf>
    <xf numFmtId="0" fontId="38" fillId="15" borderId="32" xfId="1" applyFont="1" applyFill="1" applyBorder="1" applyProtection="1">
      <protection hidden="1"/>
    </xf>
    <xf numFmtId="0" fontId="38" fillId="15" borderId="33" xfId="1" applyFont="1" applyFill="1" applyBorder="1" applyProtection="1">
      <protection hidden="1"/>
    </xf>
    <xf numFmtId="0" fontId="14" fillId="16" borderId="0" xfId="1" applyFont="1" applyFill="1" applyAlignment="1" applyProtection="1">
      <alignment horizontal="center"/>
      <protection hidden="1"/>
    </xf>
    <xf numFmtId="0" fontId="0" fillId="0" borderId="0" xfId="0"/>
    <xf numFmtId="0" fontId="2" fillId="0" borderId="3" xfId="1" applyFont="1" applyBorder="1" applyAlignment="1" applyProtection="1">
      <alignment horizontal="center"/>
      <protection hidden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22" xfId="1" applyFont="1" applyBorder="1" applyAlignment="1" applyProtection="1">
      <alignment horizontal="center"/>
      <protection hidden="1"/>
    </xf>
    <xf numFmtId="0" fontId="0" fillId="0" borderId="22" xfId="0" applyBorder="1" applyAlignment="1">
      <alignment horizontal="center"/>
    </xf>
    <xf numFmtId="0" fontId="37" fillId="0" borderId="0" xfId="1" applyProtection="1">
      <protection hidden="1"/>
    </xf>
    <xf numFmtId="0" fontId="12" fillId="0" borderId="29" xfId="1" applyFont="1" applyBorder="1" applyAlignment="1" applyProtection="1">
      <alignment horizontal="center"/>
      <protection hidden="1"/>
    </xf>
    <xf numFmtId="0" fontId="0" fillId="0" borderId="29" xfId="0" applyBorder="1"/>
    <xf numFmtId="0" fontId="15" fillId="13" borderId="16" xfId="1" applyFont="1" applyFill="1" applyBorder="1" applyAlignment="1" applyProtection="1">
      <alignment horizontal="center" vertical="center"/>
      <protection hidden="1"/>
    </xf>
    <xf numFmtId="0" fontId="15" fillId="13" borderId="17" xfId="1" applyFont="1" applyFill="1" applyBorder="1" applyAlignment="1" applyProtection="1">
      <alignment horizontal="center" vertical="center"/>
      <protection hidden="1"/>
    </xf>
    <xf numFmtId="0" fontId="16" fillId="13" borderId="18" xfId="1" applyFont="1" applyFill="1" applyBorder="1" applyAlignment="1" applyProtection="1">
      <alignment horizontal="center" vertical="center"/>
      <protection hidden="1"/>
    </xf>
    <xf numFmtId="0" fontId="15" fillId="18" borderId="9" xfId="1" applyFont="1" applyFill="1" applyBorder="1" applyAlignment="1" applyProtection="1">
      <alignment horizontal="center" vertical="center"/>
      <protection hidden="1"/>
    </xf>
    <xf numFmtId="0" fontId="11" fillId="15" borderId="27" xfId="1" applyFont="1" applyFill="1" applyBorder="1" applyAlignment="1" applyProtection="1">
      <alignment horizontal="left"/>
      <protection hidden="1"/>
    </xf>
    <xf numFmtId="0" fontId="11" fillId="15" borderId="22" xfId="1" applyFont="1" applyFill="1" applyBorder="1" applyAlignment="1" applyProtection="1">
      <alignment horizontal="left"/>
      <protection hidden="1"/>
    </xf>
    <xf numFmtId="0" fontId="11" fillId="15" borderId="28" xfId="1" applyFont="1" applyFill="1" applyBorder="1" applyAlignment="1" applyProtection="1">
      <alignment horizontal="left"/>
      <protection hidden="1"/>
    </xf>
    <xf numFmtId="0" fontId="11" fillId="16" borderId="0" xfId="1" applyFont="1" applyFill="1" applyAlignment="1">
      <alignment horizontal="center"/>
    </xf>
    <xf numFmtId="0" fontId="11" fillId="15" borderId="29" xfId="1" applyFont="1" applyFill="1" applyBorder="1" applyProtection="1">
      <protection hidden="1"/>
    </xf>
    <xf numFmtId="0" fontId="11" fillId="15" borderId="0" xfId="1" applyFont="1" applyFill="1" applyProtection="1">
      <protection hidden="1"/>
    </xf>
    <xf numFmtId="0" fontId="11" fillId="15" borderId="30" xfId="1" applyFont="1" applyFill="1" applyBorder="1" applyProtection="1">
      <protection hidden="1"/>
    </xf>
    <xf numFmtId="0" fontId="11" fillId="16" borderId="0" xfId="1" applyFont="1" applyFill="1" applyAlignment="1" applyProtection="1">
      <alignment horizontal="center"/>
      <protection hidden="1"/>
    </xf>
    <xf numFmtId="0" fontId="12" fillId="12" borderId="0" xfId="1" applyFont="1" applyFill="1" applyAlignment="1" applyProtection="1">
      <alignment horizontal="center"/>
      <protection hidden="1"/>
    </xf>
    <xf numFmtId="0" fontId="12" fillId="12" borderId="30" xfId="1" applyFont="1" applyFill="1" applyBorder="1" applyAlignment="1" applyProtection="1">
      <alignment horizontal="center"/>
      <protection hidden="1"/>
    </xf>
    <xf numFmtId="0" fontId="12" fillId="12" borderId="32" xfId="1" applyFont="1" applyFill="1" applyBorder="1" applyAlignment="1" applyProtection="1">
      <alignment horizontal="center"/>
      <protection hidden="1"/>
    </xf>
    <xf numFmtId="0" fontId="12" fillId="12" borderId="33" xfId="1" applyFont="1" applyFill="1" applyBorder="1" applyAlignment="1" applyProtection="1">
      <alignment horizontal="center"/>
      <protection hidden="1"/>
    </xf>
    <xf numFmtId="0" fontId="12" fillId="12" borderId="22" xfId="1" applyFont="1" applyFill="1" applyBorder="1" applyAlignment="1" applyProtection="1">
      <alignment horizontal="center"/>
      <protection hidden="1"/>
    </xf>
    <xf numFmtId="0" fontId="12" fillId="12" borderId="28" xfId="1" applyFont="1" applyFill="1" applyBorder="1" applyAlignment="1" applyProtection="1">
      <alignment horizontal="center"/>
      <protection hidden="1"/>
    </xf>
    <xf numFmtId="0" fontId="11" fillId="15" borderId="2" xfId="1" applyFont="1" applyFill="1" applyBorder="1" applyAlignment="1" applyProtection="1">
      <alignment horizontal="center" vertical="center"/>
      <protection hidden="1"/>
    </xf>
    <xf numFmtId="0" fontId="40" fillId="15" borderId="7" xfId="0" applyFont="1" applyFill="1" applyBorder="1"/>
    <xf numFmtId="0" fontId="40" fillId="15" borderId="8" xfId="0" applyFont="1" applyFill="1" applyBorder="1"/>
    <xf numFmtId="0" fontId="40" fillId="15" borderId="15" xfId="0" applyFont="1" applyFill="1" applyBorder="1"/>
    <xf numFmtId="0" fontId="11" fillId="15" borderId="16" xfId="1" applyFont="1" applyFill="1" applyBorder="1" applyAlignment="1" applyProtection="1">
      <alignment horizontal="center" vertical="center"/>
      <protection hidden="1"/>
    </xf>
    <xf numFmtId="0" fontId="40" fillId="15" borderId="17" xfId="0" applyFont="1" applyFill="1" applyBorder="1"/>
    <xf numFmtId="0" fontId="40" fillId="15" borderId="18" xfId="0" applyFont="1" applyFill="1" applyBorder="1"/>
    <xf numFmtId="0" fontId="6" fillId="11" borderId="22" xfId="1" applyFont="1" applyFill="1" applyBorder="1" applyProtection="1">
      <protection hidden="1"/>
    </xf>
    <xf numFmtId="0" fontId="0" fillId="12" borderId="22" xfId="0" applyFill="1" applyBorder="1"/>
    <xf numFmtId="0" fontId="0" fillId="12" borderId="23" xfId="0" applyFill="1" applyBorder="1"/>
    <xf numFmtId="0" fontId="2" fillId="15" borderId="0" xfId="1" applyFont="1" applyFill="1" applyProtection="1">
      <protection hidden="1"/>
    </xf>
    <xf numFmtId="0" fontId="0" fillId="15" borderId="0" xfId="0" applyFill="1"/>
    <xf numFmtId="0" fontId="0" fillId="15" borderId="6" xfId="0" applyFill="1" applyBorder="1"/>
    <xf numFmtId="0" fontId="2" fillId="8" borderId="0" xfId="1" applyFont="1" applyFill="1" applyProtection="1">
      <protection hidden="1"/>
    </xf>
    <xf numFmtId="0" fontId="0" fillId="9" borderId="0" xfId="0" applyFill="1"/>
    <xf numFmtId="0" fontId="0" fillId="9" borderId="6" xfId="0" applyFill="1" applyBorder="1"/>
    <xf numFmtId="0" fontId="6" fillId="10" borderId="24" xfId="1" applyFont="1" applyFill="1" applyBorder="1" applyProtection="1">
      <protection hidden="1"/>
    </xf>
    <xf numFmtId="0" fontId="0" fillId="9" borderId="24" xfId="0" applyFill="1" applyBorder="1"/>
    <xf numFmtId="0" fontId="0" fillId="9" borderId="26" xfId="0" applyFill="1" applyBorder="1"/>
    <xf numFmtId="0" fontId="1" fillId="0" borderId="0" xfId="0" applyFont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12" fillId="21" borderId="1" xfId="0" applyFont="1" applyFill="1" applyBorder="1"/>
    <xf numFmtId="0" fontId="12" fillId="21" borderId="1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right"/>
    </xf>
    <xf numFmtId="0" fontId="6" fillId="17" borderId="0" xfId="0" applyFont="1" applyFill="1"/>
    <xf numFmtId="0" fontId="15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6" fillId="19" borderId="0" xfId="0" applyFont="1" applyFill="1"/>
    <xf numFmtId="0" fontId="11" fillId="20" borderId="0" xfId="0" applyFont="1" applyFill="1"/>
    <xf numFmtId="0" fontId="14" fillId="12" borderId="9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42" fillId="23" borderId="12" xfId="0" applyFont="1" applyFill="1" applyBorder="1" applyAlignment="1">
      <alignment horizontal="left" vertical="center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left" vertical="center"/>
    </xf>
    <xf numFmtId="0" fontId="28" fillId="23" borderId="0" xfId="0" applyFont="1" applyFill="1"/>
    <xf numFmtId="0" fontId="17" fillId="28" borderId="14" xfId="0" applyFont="1" applyFill="1" applyBorder="1" applyAlignment="1">
      <alignment horizontal="left" vertical="center"/>
    </xf>
    <xf numFmtId="0" fontId="17" fillId="29" borderId="1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7" fillId="23" borderId="2" xfId="0" applyFont="1" applyFill="1" applyBorder="1" applyAlignment="1">
      <alignment horizontal="left"/>
    </xf>
    <xf numFmtId="0" fontId="27" fillId="23" borderId="7" xfId="0" applyFont="1" applyFill="1" applyBorder="1" applyAlignment="1">
      <alignment horizontal="left"/>
    </xf>
    <xf numFmtId="0" fontId="27" fillId="23" borderId="8" xfId="0" applyFont="1" applyFill="1" applyBorder="1" applyAlignment="1">
      <alignment horizontal="left"/>
    </xf>
    <xf numFmtId="0" fontId="28" fillId="23" borderId="3" xfId="0" applyFont="1" applyFill="1" applyBorder="1"/>
    <xf numFmtId="0" fontId="8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32" borderId="1" xfId="0" applyFont="1" applyFill="1" applyBorder="1" applyAlignment="1">
      <alignment horizontal="center"/>
    </xf>
    <xf numFmtId="0" fontId="29" fillId="14" borderId="1" xfId="0" applyFont="1" applyFill="1" applyBorder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1" xfId="0" applyFont="1" applyFill="1" applyBorder="1" applyAlignment="1">
      <alignment horizontal="center" wrapText="1"/>
    </xf>
    <xf numFmtId="0" fontId="11" fillId="30" borderId="9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11" fillId="17" borderId="9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0" borderId="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11" fillId="28" borderId="9" xfId="0" applyFont="1" applyFill="1" applyBorder="1" applyAlignment="1">
      <alignment horizontal="center"/>
    </xf>
    <xf numFmtId="0" fontId="44" fillId="38" borderId="27" xfId="0" applyFont="1" applyFill="1" applyBorder="1" applyAlignment="1">
      <alignment vertical="center" wrapText="1"/>
    </xf>
    <xf numFmtId="0" fontId="44" fillId="38" borderId="22" xfId="0" applyFont="1" applyFill="1" applyBorder="1" applyAlignment="1">
      <alignment vertical="center" wrapText="1"/>
    </xf>
    <xf numFmtId="0" fontId="44" fillId="38" borderId="28" xfId="0" applyFont="1" applyFill="1" applyBorder="1" applyAlignment="1">
      <alignment vertical="center" wrapText="1"/>
    </xf>
    <xf numFmtId="0" fontId="44" fillId="38" borderId="31" xfId="0" applyFont="1" applyFill="1" applyBorder="1" applyAlignment="1">
      <alignment vertical="center" wrapText="1"/>
    </xf>
    <xf numFmtId="0" fontId="44" fillId="38" borderId="32" xfId="0" applyFont="1" applyFill="1" applyBorder="1" applyAlignment="1">
      <alignment vertical="center" wrapText="1"/>
    </xf>
    <xf numFmtId="0" fontId="44" fillId="38" borderId="33" xfId="0" applyFont="1" applyFill="1" applyBorder="1" applyAlignment="1">
      <alignment vertical="center" wrapText="1"/>
    </xf>
    <xf numFmtId="0" fontId="44" fillId="40" borderId="27" xfId="0" applyFont="1" applyFill="1" applyBorder="1" applyAlignment="1">
      <alignment vertical="center" wrapText="1"/>
    </xf>
    <xf numFmtId="0" fontId="44" fillId="40" borderId="22" xfId="0" applyFont="1" applyFill="1" applyBorder="1" applyAlignment="1">
      <alignment vertical="center" wrapText="1"/>
    </xf>
    <xf numFmtId="0" fontId="44" fillId="40" borderId="28" xfId="0" applyFont="1" applyFill="1" applyBorder="1" applyAlignment="1">
      <alignment vertical="center" wrapText="1"/>
    </xf>
    <xf numFmtId="0" fontId="44" fillId="40" borderId="31" xfId="0" applyFont="1" applyFill="1" applyBorder="1" applyAlignment="1">
      <alignment vertical="center" wrapText="1"/>
    </xf>
    <xf numFmtId="0" fontId="44" fillId="40" borderId="32" xfId="0" applyFont="1" applyFill="1" applyBorder="1" applyAlignment="1">
      <alignment vertical="center" wrapText="1"/>
    </xf>
    <xf numFmtId="0" fontId="44" fillId="40" borderId="33" xfId="0" applyFont="1" applyFill="1" applyBorder="1" applyAlignment="1">
      <alignment vertical="center" wrapText="1"/>
    </xf>
    <xf numFmtId="0" fontId="43" fillId="39" borderId="27" xfId="0" applyFont="1" applyFill="1" applyBorder="1" applyAlignment="1">
      <alignment vertical="center" wrapText="1"/>
    </xf>
    <xf numFmtId="0" fontId="43" fillId="39" borderId="22" xfId="0" applyFont="1" applyFill="1" applyBorder="1" applyAlignment="1">
      <alignment vertical="center" wrapText="1"/>
    </xf>
    <xf numFmtId="0" fontId="43" fillId="39" borderId="28" xfId="0" applyFont="1" applyFill="1" applyBorder="1" applyAlignment="1">
      <alignment vertical="center" wrapText="1"/>
    </xf>
    <xf numFmtId="0" fontId="43" fillId="39" borderId="29" xfId="0" applyFont="1" applyFill="1" applyBorder="1" applyAlignment="1">
      <alignment vertical="center" wrapText="1"/>
    </xf>
    <xf numFmtId="0" fontId="43" fillId="39" borderId="0" xfId="0" applyFont="1" applyFill="1" applyAlignment="1">
      <alignment vertical="center" wrapText="1"/>
    </xf>
    <xf numFmtId="0" fontId="43" fillId="39" borderId="30" xfId="0" applyFont="1" applyFill="1" applyBorder="1" applyAlignment="1">
      <alignment vertical="center" wrapText="1"/>
    </xf>
    <xf numFmtId="0" fontId="43" fillId="39" borderId="31" xfId="0" applyFont="1" applyFill="1" applyBorder="1" applyAlignment="1">
      <alignment vertical="center" wrapText="1"/>
    </xf>
    <xf numFmtId="0" fontId="43" fillId="39" borderId="32" xfId="0" applyFont="1" applyFill="1" applyBorder="1" applyAlignment="1">
      <alignment vertical="center" wrapText="1"/>
    </xf>
    <xf numFmtId="0" fontId="43" fillId="39" borderId="33" xfId="0" applyFont="1" applyFill="1" applyBorder="1" applyAlignment="1">
      <alignment vertical="center" wrapText="1"/>
    </xf>
    <xf numFmtId="0" fontId="45" fillId="38" borderId="27" xfId="0" applyFont="1" applyFill="1" applyBorder="1" applyAlignment="1">
      <alignment horizontal="center" vertical="center" wrapText="1"/>
    </xf>
    <xf numFmtId="0" fontId="0" fillId="38" borderId="28" xfId="0" applyFill="1" applyBorder="1" applyAlignment="1">
      <alignment horizontal="center" vertical="center" wrapText="1"/>
    </xf>
    <xf numFmtId="0" fontId="0" fillId="38" borderId="31" xfId="0" applyFill="1" applyBorder="1" applyAlignment="1">
      <alignment horizontal="center" vertical="center" wrapText="1"/>
    </xf>
    <xf numFmtId="0" fontId="0" fillId="38" borderId="33" xfId="0" applyFill="1" applyBorder="1" applyAlignment="1">
      <alignment horizontal="center" vertical="center" wrapText="1"/>
    </xf>
    <xf numFmtId="0" fontId="45" fillId="40" borderId="27" xfId="0" applyFont="1" applyFill="1" applyBorder="1" applyAlignment="1">
      <alignment horizontal="center" vertical="center" wrapText="1"/>
    </xf>
    <xf numFmtId="0" fontId="0" fillId="40" borderId="28" xfId="0" applyFill="1" applyBorder="1" applyAlignment="1">
      <alignment horizontal="center" vertical="center" wrapText="1"/>
    </xf>
    <xf numFmtId="0" fontId="0" fillId="40" borderId="31" xfId="0" applyFill="1" applyBorder="1" applyAlignment="1">
      <alignment vertical="center" wrapText="1"/>
    </xf>
    <xf numFmtId="0" fontId="0" fillId="40" borderId="33" xfId="0" applyFill="1" applyBorder="1" applyAlignment="1">
      <alignment vertical="center" wrapText="1"/>
    </xf>
  </cellXfs>
  <cellStyles count="2">
    <cellStyle name="Normal" xfId="0" builtinId="0"/>
    <cellStyle name="Normal 2" xfId="1" xr:uid="{0B0FFFB7-D2E1-42E1-9B51-CD53BE0D1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94596</xdr:colOff>
      <xdr:row>18</xdr:row>
      <xdr:rowOff>165099</xdr:rowOff>
    </xdr:from>
    <xdr:to>
      <xdr:col>8</xdr:col>
      <xdr:colOff>523875</xdr:colOff>
      <xdr:row>21</xdr:row>
      <xdr:rowOff>12699</xdr:rowOff>
    </xdr:to>
    <xdr:pic>
      <xdr:nvPicPr>
        <xdr:cNvPr id="4" name="Imagem 3" descr="Aviso">
          <a:extLst>
            <a:ext uri="{FF2B5EF4-FFF2-40B4-BE49-F238E27FC236}">
              <a16:creationId xmlns:a16="http://schemas.microsoft.com/office/drawing/2014/main" id="{A5EB6FB5-9014-04C7-720F-D61C263F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096" y="3241674"/>
          <a:ext cx="429279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53975</xdr:colOff>
      <xdr:row>4</xdr:row>
      <xdr:rowOff>177800</xdr:rowOff>
    </xdr:from>
    <xdr:to>
      <xdr:col>4</xdr:col>
      <xdr:colOff>549275</xdr:colOff>
      <xdr:row>4</xdr:row>
      <xdr:rowOff>177800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410F3439-6306-4448-B018-95E23AA791DF}"/>
            </a:ext>
          </a:extLst>
        </xdr:cNvPr>
        <xdr:cNvCxnSpPr/>
      </xdr:nvCxnSpPr>
      <xdr:spPr>
        <a:xfrm>
          <a:off x="4664075" y="968375"/>
          <a:ext cx="495300" cy="0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34925</xdr:colOff>
      <xdr:row>16</xdr:row>
      <xdr:rowOff>6350</xdr:rowOff>
    </xdr:from>
    <xdr:to>
      <xdr:col>4</xdr:col>
      <xdr:colOff>530225</xdr:colOff>
      <xdr:row>16</xdr:row>
      <xdr:rowOff>6350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FAC23C23-F9F0-4CB4-8EA0-CDDD4149F8F1}"/>
            </a:ext>
          </a:extLst>
        </xdr:cNvPr>
        <xdr:cNvCxnSpPr/>
      </xdr:nvCxnSpPr>
      <xdr:spPr>
        <a:xfrm>
          <a:off x="4645025" y="268287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104775</xdr:rowOff>
    </xdr:from>
    <xdr:to>
      <xdr:col>8</xdr:col>
      <xdr:colOff>63500</xdr:colOff>
      <xdr:row>20</xdr:row>
      <xdr:rowOff>0</xdr:rowOff>
    </xdr:to>
    <xdr:cxnSp macro="">
      <xdr:nvCxnSpPr>
        <xdr:cNvPr id="10" name="Conector: Angulado 9">
          <a:extLst>
            <a:ext uri="{FF2B5EF4-FFF2-40B4-BE49-F238E27FC236}">
              <a16:creationId xmlns:a16="http://schemas.microsoft.com/office/drawing/2014/main" id="{9947C4EE-D0C1-FAB4-8858-3FC04C64FC4D}"/>
            </a:ext>
          </a:extLst>
        </xdr:cNvPr>
        <xdr:cNvCxnSpPr/>
      </xdr:nvCxnSpPr>
      <xdr:spPr>
        <a:xfrm>
          <a:off x="4610100" y="2981325"/>
          <a:ext cx="2501900" cy="495300"/>
        </a:xfrm>
        <a:prstGeom prst="bentConnector3">
          <a:avLst>
            <a:gd name="adj1" fmla="val 48479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vera_rsilva_sicredi_com_br/Documents/Desktop/C&#225;lculo%20todos%20DVs.xls" TargetMode="External"/><Relationship Id="rId1" Type="http://schemas.openxmlformats.org/officeDocument/2006/relationships/externalLinkPath" Target="/personal/vera_rsilva_sicredi_com_br/Documents/Desktop/C&#225;lculo%20todos%20DV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V NN"/>
      <sheetName val="DV Campo Livre"/>
      <sheetName val="Fator de Vencimento"/>
      <sheetName val="DV Geral"/>
      <sheetName val="DV do 1º campo"/>
      <sheetName val="DV do 2ºcampo"/>
      <sheetName val="DV do 3º campo"/>
      <sheetName val="Bloque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G34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B11F-1F06-4A9E-AFC0-C5289001A23F}">
  <sheetPr codeName="Planilha1"/>
  <dimension ref="A1:Y30"/>
  <sheetViews>
    <sheetView tabSelected="1" zoomScale="120" zoomScaleNormal="120" workbookViewId="0">
      <selection activeCell="F4" sqref="F4"/>
    </sheetView>
  </sheetViews>
  <sheetFormatPr defaultRowHeight="14.5" x14ac:dyDescent="0.35"/>
  <cols>
    <col min="1" max="19" width="6" customWidth="1"/>
    <col min="25" max="25" width="0.54296875" customWidth="1"/>
  </cols>
  <sheetData>
    <row r="1" spans="1:25" x14ac:dyDescent="0.35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 spans="1:25" x14ac:dyDescent="0.35">
      <c r="A2" s="205" t="s">
        <v>3</v>
      </c>
      <c r="B2" s="206"/>
      <c r="C2" s="206"/>
      <c r="D2" s="207"/>
      <c r="E2" s="205" t="s">
        <v>4</v>
      </c>
      <c r="F2" s="207"/>
      <c r="G2" s="205" t="s">
        <v>5</v>
      </c>
      <c r="H2" s="206"/>
      <c r="I2" s="206"/>
      <c r="J2" s="206"/>
      <c r="K2" s="207"/>
      <c r="L2" s="205" t="s">
        <v>74</v>
      </c>
      <c r="M2" s="207"/>
      <c r="N2" s="82" t="s">
        <v>75</v>
      </c>
      <c r="O2" s="205" t="s">
        <v>76</v>
      </c>
      <c r="P2" s="206"/>
      <c r="Q2" s="206"/>
      <c r="R2" s="206"/>
      <c r="S2" s="208"/>
      <c r="T2" s="209" t="s">
        <v>77</v>
      </c>
      <c r="U2" s="210"/>
      <c r="V2" s="210"/>
      <c r="W2" s="210"/>
      <c r="X2" s="210"/>
      <c r="Y2" s="211"/>
    </row>
    <row r="3" spans="1:25" x14ac:dyDescent="0.35">
      <c r="A3" s="78">
        <v>0</v>
      </c>
      <c r="B3" s="78">
        <v>7</v>
      </c>
      <c r="C3" s="78">
        <v>3</v>
      </c>
      <c r="D3" s="78">
        <v>0</v>
      </c>
      <c r="E3" s="78">
        <v>7</v>
      </c>
      <c r="F3" s="78">
        <v>2</v>
      </c>
      <c r="G3" s="78">
        <v>2</v>
      </c>
      <c r="H3" s="78">
        <v>2</v>
      </c>
      <c r="I3" s="78">
        <v>2</v>
      </c>
      <c r="J3" s="78">
        <v>6</v>
      </c>
      <c r="K3" s="79">
        <v>9</v>
      </c>
      <c r="L3" s="80">
        <v>2</v>
      </c>
      <c r="M3" s="81">
        <v>6</v>
      </c>
      <c r="N3" s="81">
        <v>2</v>
      </c>
      <c r="O3" s="81">
        <v>0</v>
      </c>
      <c r="P3" s="81">
        <v>0</v>
      </c>
      <c r="Q3" s="81">
        <v>0</v>
      </c>
      <c r="R3" s="81">
        <v>1</v>
      </c>
      <c r="S3" s="81">
        <v>8</v>
      </c>
      <c r="T3" s="62" t="s">
        <v>7</v>
      </c>
      <c r="U3" s="212" t="s">
        <v>78</v>
      </c>
      <c r="V3" s="213"/>
      <c r="W3" s="213"/>
      <c r="X3" s="213"/>
      <c r="Y3" s="214"/>
    </row>
    <row r="4" spans="1:25" x14ac:dyDescent="0.35">
      <c r="A4" s="74" t="s">
        <v>9</v>
      </c>
      <c r="B4" s="75" t="s">
        <v>9</v>
      </c>
      <c r="C4" s="75" t="s">
        <v>9</v>
      </c>
      <c r="D4" s="75" t="s">
        <v>9</v>
      </c>
      <c r="E4" s="76" t="s">
        <v>9</v>
      </c>
      <c r="F4" s="76" t="s">
        <v>9</v>
      </c>
      <c r="G4" s="77" t="s">
        <v>9</v>
      </c>
      <c r="H4" s="76" t="s">
        <v>9</v>
      </c>
      <c r="I4" s="74" t="s">
        <v>9</v>
      </c>
      <c r="J4" s="76" t="s">
        <v>9</v>
      </c>
      <c r="K4" s="74" t="s">
        <v>9</v>
      </c>
      <c r="L4" s="76" t="s">
        <v>9</v>
      </c>
      <c r="M4" s="74" t="s">
        <v>9</v>
      </c>
      <c r="N4" s="76" t="s">
        <v>9</v>
      </c>
      <c r="O4" s="74" t="s">
        <v>9</v>
      </c>
      <c r="P4" s="76" t="s">
        <v>9</v>
      </c>
      <c r="Q4" s="74" t="s">
        <v>9</v>
      </c>
      <c r="R4" s="76" t="s">
        <v>9</v>
      </c>
      <c r="S4" s="77" t="s">
        <v>9</v>
      </c>
      <c r="T4" s="73"/>
      <c r="U4" s="215"/>
      <c r="V4" s="216"/>
      <c r="W4" s="216"/>
      <c r="X4" s="216"/>
      <c r="Y4" s="217"/>
    </row>
    <row r="5" spans="1:25" x14ac:dyDescent="0.35">
      <c r="A5" s="52">
        <v>4</v>
      </c>
      <c r="B5" s="53">
        <v>3</v>
      </c>
      <c r="C5" s="53">
        <v>2</v>
      </c>
      <c r="D5" s="53">
        <v>9</v>
      </c>
      <c r="E5" s="54">
        <v>8</v>
      </c>
      <c r="F5" s="54">
        <v>7</v>
      </c>
      <c r="G5" s="55">
        <v>6</v>
      </c>
      <c r="H5" s="54">
        <v>5</v>
      </c>
      <c r="I5" s="52">
        <v>4</v>
      </c>
      <c r="J5" s="54">
        <v>3</v>
      </c>
      <c r="K5" s="52">
        <v>2</v>
      </c>
      <c r="L5" s="54">
        <v>9</v>
      </c>
      <c r="M5" s="52">
        <v>8</v>
      </c>
      <c r="N5" s="54">
        <v>7</v>
      </c>
      <c r="O5" s="52">
        <v>6</v>
      </c>
      <c r="P5" s="54">
        <v>5</v>
      </c>
      <c r="Q5" s="52">
        <v>4</v>
      </c>
      <c r="R5" s="54">
        <v>3</v>
      </c>
      <c r="S5" s="55">
        <v>2</v>
      </c>
      <c r="T5" s="56" t="s">
        <v>7</v>
      </c>
      <c r="U5" s="218" t="s">
        <v>10</v>
      </c>
      <c r="V5" s="219"/>
      <c r="W5" s="219"/>
      <c r="X5" s="219"/>
      <c r="Y5" s="220"/>
    </row>
    <row r="6" spans="1:25" x14ac:dyDescent="0.35">
      <c r="A6" s="69" t="s">
        <v>11</v>
      </c>
      <c r="B6" s="70" t="s">
        <v>11</v>
      </c>
      <c r="C6" s="70" t="s">
        <v>11</v>
      </c>
      <c r="D6" s="70" t="s">
        <v>11</v>
      </c>
      <c r="E6" s="71" t="s">
        <v>11</v>
      </c>
      <c r="F6" s="71" t="s">
        <v>11</v>
      </c>
      <c r="G6" s="72" t="s">
        <v>11</v>
      </c>
      <c r="H6" s="71" t="s">
        <v>11</v>
      </c>
      <c r="I6" s="69" t="s">
        <v>11</v>
      </c>
      <c r="J6" s="71" t="s">
        <v>11</v>
      </c>
      <c r="K6" s="69" t="s">
        <v>11</v>
      </c>
      <c r="L6" s="71" t="s">
        <v>11</v>
      </c>
      <c r="M6" s="69" t="s">
        <v>11</v>
      </c>
      <c r="N6" s="71" t="s">
        <v>11</v>
      </c>
      <c r="O6" s="69" t="s">
        <v>11</v>
      </c>
      <c r="P6" s="71" t="s">
        <v>11</v>
      </c>
      <c r="Q6" s="69" t="s">
        <v>11</v>
      </c>
      <c r="R6" s="71" t="s">
        <v>11</v>
      </c>
      <c r="S6" s="72" t="s">
        <v>11</v>
      </c>
      <c r="T6" s="73"/>
      <c r="U6" s="215"/>
      <c r="V6" s="216"/>
      <c r="W6" s="216"/>
      <c r="X6" s="216"/>
      <c r="Y6" s="217"/>
    </row>
    <row r="7" spans="1:25" x14ac:dyDescent="0.35">
      <c r="A7" s="57">
        <f t="shared" ref="A7:S7" si="0">A3*A5</f>
        <v>0</v>
      </c>
      <c r="B7" s="58">
        <f t="shared" si="0"/>
        <v>21</v>
      </c>
      <c r="C7" s="58">
        <f t="shared" si="0"/>
        <v>6</v>
      </c>
      <c r="D7" s="58">
        <f t="shared" si="0"/>
        <v>0</v>
      </c>
      <c r="E7" s="59">
        <f t="shared" si="0"/>
        <v>56</v>
      </c>
      <c r="F7" s="59">
        <f t="shared" si="0"/>
        <v>14</v>
      </c>
      <c r="G7" s="60">
        <f t="shared" si="0"/>
        <v>12</v>
      </c>
      <c r="H7" s="59">
        <f t="shared" si="0"/>
        <v>10</v>
      </c>
      <c r="I7" s="57">
        <f t="shared" si="0"/>
        <v>8</v>
      </c>
      <c r="J7" s="59">
        <f t="shared" si="0"/>
        <v>18</v>
      </c>
      <c r="K7" s="57">
        <f t="shared" si="0"/>
        <v>18</v>
      </c>
      <c r="L7" s="59">
        <f t="shared" si="0"/>
        <v>18</v>
      </c>
      <c r="M7" s="57">
        <f t="shared" si="0"/>
        <v>48</v>
      </c>
      <c r="N7" s="59">
        <f t="shared" si="0"/>
        <v>14</v>
      </c>
      <c r="O7" s="57">
        <f t="shared" si="0"/>
        <v>0</v>
      </c>
      <c r="P7" s="59">
        <f t="shared" si="0"/>
        <v>0</v>
      </c>
      <c r="Q7" s="57">
        <f t="shared" si="0"/>
        <v>0</v>
      </c>
      <c r="R7" s="59">
        <f t="shared" si="0"/>
        <v>3</v>
      </c>
      <c r="S7" s="60">
        <f t="shared" si="0"/>
        <v>16</v>
      </c>
      <c r="T7" s="61" t="s">
        <v>7</v>
      </c>
      <c r="U7" s="221" t="s">
        <v>12</v>
      </c>
      <c r="V7" s="222"/>
      <c r="W7" s="222"/>
      <c r="X7" s="222"/>
      <c r="Y7" s="223"/>
    </row>
    <row r="8" spans="1:25" x14ac:dyDescent="0.35">
      <c r="A8" s="178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8"/>
      <c r="S8" s="180"/>
      <c r="T8" s="180"/>
      <c r="U8" s="180"/>
      <c r="V8" s="180"/>
      <c r="W8" s="180"/>
      <c r="X8" s="180"/>
      <c r="Y8" s="48"/>
    </row>
    <row r="9" spans="1:25" x14ac:dyDescent="0.35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81"/>
      <c r="S9" s="181"/>
      <c r="T9" s="181"/>
      <c r="U9" s="181"/>
      <c r="V9" s="181"/>
      <c r="W9" s="181"/>
      <c r="X9" s="181"/>
      <c r="Y9" s="48"/>
    </row>
    <row r="10" spans="1:25" ht="15.5" x14ac:dyDescent="0.35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63" t="s">
        <v>14</v>
      </c>
      <c r="S10" s="203">
        <f>SUM(A7:S7)</f>
        <v>262</v>
      </c>
      <c r="T10" s="203"/>
      <c r="U10" s="64" t="s">
        <v>15</v>
      </c>
      <c r="V10" s="64">
        <v>11</v>
      </c>
      <c r="W10" s="64" t="s">
        <v>11</v>
      </c>
      <c r="X10" s="203">
        <f>S10/V10</f>
        <v>23.818181818181817</v>
      </c>
      <c r="Y10" s="204"/>
    </row>
    <row r="11" spans="1:25" ht="15.5" x14ac:dyDescent="0.35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65" t="s">
        <v>14</v>
      </c>
      <c r="S11" s="199">
        <f>INT(X10)</f>
        <v>23</v>
      </c>
      <c r="T11" s="199"/>
      <c r="U11" s="66" t="s">
        <v>9</v>
      </c>
      <c r="V11" s="66">
        <f>V10</f>
        <v>11</v>
      </c>
      <c r="W11" s="66" t="s">
        <v>11</v>
      </c>
      <c r="X11" s="199">
        <f>S11*V11</f>
        <v>253</v>
      </c>
      <c r="Y11" s="200"/>
    </row>
    <row r="12" spans="1:25" ht="15.5" x14ac:dyDescent="0.35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65" t="s">
        <v>14</v>
      </c>
      <c r="S12" s="199">
        <f>S10</f>
        <v>262</v>
      </c>
      <c r="T12" s="199"/>
      <c r="U12" s="66" t="s">
        <v>16</v>
      </c>
      <c r="V12" s="66">
        <f>X11</f>
        <v>253</v>
      </c>
      <c r="W12" s="66" t="s">
        <v>11</v>
      </c>
      <c r="X12" s="199">
        <f>S12-V12</f>
        <v>9</v>
      </c>
      <c r="Y12" s="200"/>
    </row>
    <row r="13" spans="1:25" ht="15.5" x14ac:dyDescent="0.35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67" t="s">
        <v>14</v>
      </c>
      <c r="S13" s="201">
        <f>V10</f>
        <v>11</v>
      </c>
      <c r="T13" s="201"/>
      <c r="U13" s="68" t="s">
        <v>16</v>
      </c>
      <c r="V13" s="68">
        <f>X12</f>
        <v>9</v>
      </c>
      <c r="W13" s="68" t="s">
        <v>11</v>
      </c>
      <c r="X13" s="201">
        <f>S13-V13</f>
        <v>2</v>
      </c>
      <c r="Y13" s="202"/>
    </row>
    <row r="14" spans="1:25" ht="15.5" x14ac:dyDescent="0.35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82"/>
      <c r="S14" s="183"/>
      <c r="T14" s="183"/>
      <c r="U14" s="183"/>
      <c r="V14" s="183"/>
      <c r="W14" s="183"/>
      <c r="X14" s="183"/>
      <c r="Y14" s="49"/>
    </row>
    <row r="15" spans="1:25" ht="15.5" x14ac:dyDescent="0.35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87" t="s">
        <v>17</v>
      </c>
      <c r="S15" s="188"/>
      <c r="T15" s="189" t="s">
        <v>11</v>
      </c>
      <c r="U15" s="190">
        <f>IF(AND(X13&gt;=10),0,X13)</f>
        <v>2</v>
      </c>
      <c r="V15" s="190"/>
      <c r="W15" s="190"/>
      <c r="X15" s="185"/>
      <c r="Y15" s="49"/>
    </row>
    <row r="16" spans="1:2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87"/>
      <c r="S16" s="188"/>
      <c r="T16" s="189"/>
      <c r="U16" s="190"/>
      <c r="V16" s="190"/>
      <c r="W16" s="190"/>
      <c r="X16" s="186"/>
      <c r="Y16" s="50">
        <f>U15</f>
        <v>2</v>
      </c>
    </row>
    <row r="17" spans="1:2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84"/>
      <c r="S17" s="177"/>
      <c r="T17" s="177"/>
      <c r="U17" s="177"/>
      <c r="V17" s="177"/>
      <c r="W17" s="177"/>
      <c r="X17" s="177"/>
      <c r="Y17" s="47"/>
    </row>
    <row r="18" spans="1:2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47"/>
    </row>
    <row r="19" spans="1:25" x14ac:dyDescent="0.35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47"/>
    </row>
    <row r="20" spans="1:25" x14ac:dyDescent="0.35">
      <c r="A20" s="184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91" t="s">
        <v>79</v>
      </c>
      <c r="M20" s="192"/>
      <c r="N20" s="192"/>
      <c r="O20" s="192"/>
      <c r="P20" s="193"/>
      <c r="Q20" s="51" t="s">
        <v>11</v>
      </c>
      <c r="R20" s="194" t="str">
        <f>CONCATENATE(L3,M3,N3,O3,P3,Q3,R3,S3)</f>
        <v>26200018</v>
      </c>
      <c r="S20" s="194"/>
      <c r="T20" s="194"/>
      <c r="U20" s="184"/>
      <c r="V20" s="177"/>
      <c r="W20" s="177"/>
      <c r="X20" s="177"/>
      <c r="Y20" s="47"/>
    </row>
    <row r="21" spans="1:25" x14ac:dyDescent="0.35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95" t="s">
        <v>80</v>
      </c>
      <c r="M21" s="196"/>
      <c r="N21" s="196"/>
      <c r="O21" s="196"/>
      <c r="P21" s="197"/>
      <c r="Q21" s="51" t="s">
        <v>11</v>
      </c>
      <c r="R21" s="198">
        <f>U15</f>
        <v>2</v>
      </c>
      <c r="S21" s="198"/>
      <c r="T21" s="198"/>
      <c r="U21" s="177"/>
      <c r="V21" s="177"/>
      <c r="W21" s="177"/>
      <c r="X21" s="177"/>
      <c r="Y21" s="47"/>
    </row>
    <row r="22" spans="1:25" ht="15.5" x14ac:dyDescent="0.35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3" t="s">
        <v>81</v>
      </c>
      <c r="M22" s="174"/>
      <c r="N22" s="174"/>
      <c r="O22" s="174"/>
      <c r="P22" s="175"/>
      <c r="Q22" s="51" t="s">
        <v>11</v>
      </c>
      <c r="R22" s="176" t="str">
        <f>CONCATENATE(R20,R21)</f>
        <v>262000182</v>
      </c>
      <c r="S22" s="176"/>
      <c r="T22" s="176"/>
      <c r="U22" s="177"/>
      <c r="V22" s="177"/>
      <c r="W22" s="177"/>
      <c r="X22" s="177"/>
      <c r="Y22" s="47"/>
    </row>
    <row r="23" spans="1:25" x14ac:dyDescent="0.35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5" x14ac:dyDescent="0.35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5" x14ac:dyDescent="0.3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5" x14ac:dyDescent="0.35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5" x14ac:dyDescent="0.35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5" x14ac:dyDescent="0.35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</row>
    <row r="29" spans="1:25" x14ac:dyDescent="0.35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5" x14ac:dyDescent="0.35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</sheetData>
  <mergeCells count="37">
    <mergeCell ref="S10:T10"/>
    <mergeCell ref="X10:Y10"/>
    <mergeCell ref="A2:D2"/>
    <mergeCell ref="E2:F2"/>
    <mergeCell ref="G2:K2"/>
    <mergeCell ref="L2:M2"/>
    <mergeCell ref="O2:S2"/>
    <mergeCell ref="T2:Y2"/>
    <mergeCell ref="U3:Y3"/>
    <mergeCell ref="U4:Y4"/>
    <mergeCell ref="U5:Y5"/>
    <mergeCell ref="U6:Y6"/>
    <mergeCell ref="U7:Y7"/>
    <mergeCell ref="R21:T21"/>
    <mergeCell ref="U20:X22"/>
    <mergeCell ref="S11:T11"/>
    <mergeCell ref="X11:Y11"/>
    <mergeCell ref="S12:T12"/>
    <mergeCell ref="X12:Y12"/>
    <mergeCell ref="S13:T13"/>
    <mergeCell ref="X13:Y13"/>
    <mergeCell ref="L22:P22"/>
    <mergeCell ref="R22:T22"/>
    <mergeCell ref="A1:Y1"/>
    <mergeCell ref="A8:Q19"/>
    <mergeCell ref="R8:X9"/>
    <mergeCell ref="R14:X14"/>
    <mergeCell ref="R17:X19"/>
    <mergeCell ref="X15:X16"/>
    <mergeCell ref="A20:K30"/>
    <mergeCell ref="L23:X30"/>
    <mergeCell ref="R15:S16"/>
    <mergeCell ref="T15:T16"/>
    <mergeCell ref="U15:W16"/>
    <mergeCell ref="L20:P20"/>
    <mergeCell ref="R20:T20"/>
    <mergeCell ref="L21:P21"/>
  </mergeCells>
  <pageMargins left="0.511811024" right="0.511811024" top="0.78740157499999996" bottom="0.78740157499999996" header="0.31496062000000002" footer="0.31496062000000002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A599-090E-4452-804C-8BC3340A1420}">
  <sheetPr codeName="Planilha2"/>
  <dimension ref="A1:AD18"/>
  <sheetViews>
    <sheetView zoomScale="85" zoomScaleNormal="85" workbookViewId="0">
      <selection activeCell="W4" sqref="W4"/>
    </sheetView>
  </sheetViews>
  <sheetFormatPr defaultRowHeight="14.5" x14ac:dyDescent="0.35"/>
  <cols>
    <col min="1" max="2" width="6.7265625" customWidth="1"/>
    <col min="3" max="24" width="6" customWidth="1"/>
  </cols>
  <sheetData>
    <row r="1" spans="1:30" ht="18" x14ac:dyDescent="0.4">
      <c r="A1" s="224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52.5" x14ac:dyDescent="0.35">
      <c r="A3" s="109" t="s">
        <v>82</v>
      </c>
      <c r="B3" s="109" t="s">
        <v>1</v>
      </c>
      <c r="C3" s="225" t="s">
        <v>2</v>
      </c>
      <c r="D3" s="225"/>
      <c r="E3" s="225"/>
      <c r="F3" s="225"/>
      <c r="G3" s="225"/>
      <c r="H3" s="225"/>
      <c r="I3" s="225"/>
      <c r="J3" s="225"/>
      <c r="K3" s="225"/>
      <c r="L3" s="225" t="s">
        <v>3</v>
      </c>
      <c r="M3" s="225"/>
      <c r="N3" s="225"/>
      <c r="O3" s="225"/>
      <c r="P3" s="225" t="s">
        <v>4</v>
      </c>
      <c r="Q3" s="225"/>
      <c r="R3" s="225" t="s">
        <v>5</v>
      </c>
      <c r="S3" s="225"/>
      <c r="T3" s="225"/>
      <c r="U3" s="225"/>
      <c r="V3" s="225"/>
      <c r="W3" s="109" t="s">
        <v>73</v>
      </c>
      <c r="X3" s="109" t="s">
        <v>6</v>
      </c>
      <c r="Y3" s="1"/>
      <c r="Z3" s="1"/>
      <c r="AA3" s="1"/>
      <c r="AB3" s="1"/>
      <c r="AC3" s="1"/>
      <c r="AD3" s="1"/>
    </row>
    <row r="4" spans="1:30" x14ac:dyDescent="0.35">
      <c r="A4" s="83">
        <v>1</v>
      </c>
      <c r="B4" s="83">
        <v>1</v>
      </c>
      <c r="C4" s="84">
        <v>2</v>
      </c>
      <c r="D4" s="84">
        <v>5</v>
      </c>
      <c r="E4" s="84">
        <v>2</v>
      </c>
      <c r="F4" s="84">
        <v>0</v>
      </c>
      <c r="G4" s="84">
        <v>0</v>
      </c>
      <c r="H4" s="84">
        <v>0</v>
      </c>
      <c r="I4" s="84">
        <v>1</v>
      </c>
      <c r="J4" s="84">
        <v>7</v>
      </c>
      <c r="K4" s="84">
        <v>1</v>
      </c>
      <c r="L4" s="84">
        <v>0</v>
      </c>
      <c r="M4" s="84">
        <v>7</v>
      </c>
      <c r="N4" s="84">
        <v>1</v>
      </c>
      <c r="O4" s="84">
        <v>8</v>
      </c>
      <c r="P4" s="84">
        <v>9</v>
      </c>
      <c r="Q4" s="84">
        <v>1</v>
      </c>
      <c r="R4" s="84">
        <v>1</v>
      </c>
      <c r="S4" s="84">
        <v>2</v>
      </c>
      <c r="T4" s="84">
        <v>3</v>
      </c>
      <c r="U4" s="84">
        <v>0</v>
      </c>
      <c r="V4" s="84">
        <v>8</v>
      </c>
      <c r="W4" s="83">
        <v>1</v>
      </c>
      <c r="X4" s="83">
        <v>0</v>
      </c>
      <c r="Y4" s="95" t="s">
        <v>7</v>
      </c>
      <c r="Z4" s="230" t="s">
        <v>8</v>
      </c>
      <c r="AA4" s="230"/>
      <c r="AB4" s="230"/>
      <c r="AC4" s="230"/>
      <c r="AD4" s="1"/>
    </row>
    <row r="5" spans="1:30" x14ac:dyDescent="0.35">
      <c r="A5" s="85" t="s">
        <v>9</v>
      </c>
      <c r="B5" s="85" t="s">
        <v>9</v>
      </c>
      <c r="C5" s="85" t="s">
        <v>9</v>
      </c>
      <c r="D5" s="85" t="s">
        <v>9</v>
      </c>
      <c r="E5" s="85" t="s">
        <v>9</v>
      </c>
      <c r="F5" s="85" t="s">
        <v>9</v>
      </c>
      <c r="G5" s="85" t="s">
        <v>9</v>
      </c>
      <c r="H5" s="85" t="s">
        <v>9</v>
      </c>
      <c r="I5" s="85" t="s">
        <v>9</v>
      </c>
      <c r="J5" s="85" t="s">
        <v>9</v>
      </c>
      <c r="K5" s="85" t="s">
        <v>9</v>
      </c>
      <c r="L5" s="85" t="s">
        <v>9</v>
      </c>
      <c r="M5" s="85" t="s">
        <v>9</v>
      </c>
      <c r="N5" s="85" t="s">
        <v>9</v>
      </c>
      <c r="O5" s="85" t="s">
        <v>9</v>
      </c>
      <c r="P5" s="85" t="s">
        <v>9</v>
      </c>
      <c r="Q5" s="85" t="s">
        <v>9</v>
      </c>
      <c r="R5" s="85" t="s">
        <v>9</v>
      </c>
      <c r="S5" s="85" t="s">
        <v>9</v>
      </c>
      <c r="T5" s="85" t="s">
        <v>9</v>
      </c>
      <c r="U5" s="85" t="s">
        <v>9</v>
      </c>
      <c r="V5" s="85" t="s">
        <v>9</v>
      </c>
      <c r="W5" s="85" t="s">
        <v>9</v>
      </c>
      <c r="X5" s="85" t="s">
        <v>9</v>
      </c>
      <c r="Y5" s="2"/>
      <c r="Z5" s="3"/>
      <c r="AA5" s="3"/>
      <c r="AB5" s="3"/>
      <c r="AC5" s="3"/>
      <c r="AD5" s="3"/>
    </row>
    <row r="6" spans="1:30" x14ac:dyDescent="0.35">
      <c r="A6" s="86">
        <v>9</v>
      </c>
      <c r="B6" s="86">
        <v>8</v>
      </c>
      <c r="C6" s="86">
        <v>7</v>
      </c>
      <c r="D6" s="86">
        <v>6</v>
      </c>
      <c r="E6" s="86">
        <v>5</v>
      </c>
      <c r="F6" s="86">
        <v>4</v>
      </c>
      <c r="G6" s="86">
        <v>3</v>
      </c>
      <c r="H6" s="86">
        <v>2</v>
      </c>
      <c r="I6" s="86">
        <v>9</v>
      </c>
      <c r="J6" s="86">
        <v>8</v>
      </c>
      <c r="K6" s="86">
        <v>7</v>
      </c>
      <c r="L6" s="86">
        <v>6</v>
      </c>
      <c r="M6" s="86">
        <v>5</v>
      </c>
      <c r="N6" s="86">
        <v>4</v>
      </c>
      <c r="O6" s="86">
        <v>3</v>
      </c>
      <c r="P6" s="86">
        <v>2</v>
      </c>
      <c r="Q6" s="86">
        <v>9</v>
      </c>
      <c r="R6" s="86">
        <v>8</v>
      </c>
      <c r="S6" s="86">
        <v>7</v>
      </c>
      <c r="T6" s="86">
        <v>6</v>
      </c>
      <c r="U6" s="86">
        <v>5</v>
      </c>
      <c r="V6" s="86">
        <v>4</v>
      </c>
      <c r="W6" s="86">
        <v>3</v>
      </c>
      <c r="X6" s="86">
        <v>2</v>
      </c>
      <c r="Y6" s="87" t="s">
        <v>7</v>
      </c>
      <c r="Z6" s="234" t="s">
        <v>10</v>
      </c>
      <c r="AA6" s="234"/>
      <c r="AB6" s="88"/>
      <c r="AC6" s="88"/>
      <c r="AD6" s="1"/>
    </row>
    <row r="7" spans="1:30" x14ac:dyDescent="0.35">
      <c r="A7" s="89" t="s">
        <v>11</v>
      </c>
      <c r="B7" s="90" t="s">
        <v>11</v>
      </c>
      <c r="C7" s="90" t="s">
        <v>11</v>
      </c>
      <c r="D7" s="90" t="s">
        <v>11</v>
      </c>
      <c r="E7" s="91" t="s">
        <v>11</v>
      </c>
      <c r="F7" s="91" t="s">
        <v>11</v>
      </c>
      <c r="G7" s="92" t="s">
        <v>11</v>
      </c>
      <c r="H7" s="91" t="s">
        <v>11</v>
      </c>
      <c r="I7" s="89" t="s">
        <v>11</v>
      </c>
      <c r="J7" s="91" t="s">
        <v>11</v>
      </c>
      <c r="K7" s="89" t="s">
        <v>11</v>
      </c>
      <c r="L7" s="91" t="s">
        <v>11</v>
      </c>
      <c r="M7" s="89" t="s">
        <v>11</v>
      </c>
      <c r="N7" s="91" t="s">
        <v>11</v>
      </c>
      <c r="O7" s="89" t="s">
        <v>11</v>
      </c>
      <c r="P7" s="91" t="s">
        <v>11</v>
      </c>
      <c r="Q7" s="89" t="s">
        <v>11</v>
      </c>
      <c r="R7" s="91" t="s">
        <v>11</v>
      </c>
      <c r="S7" s="92" t="s">
        <v>11</v>
      </c>
      <c r="T7" s="89" t="s">
        <v>11</v>
      </c>
      <c r="U7" s="91" t="s">
        <v>11</v>
      </c>
      <c r="V7" s="89" t="s">
        <v>11</v>
      </c>
      <c r="W7" s="91" t="s">
        <v>11</v>
      </c>
      <c r="X7" s="92" t="s">
        <v>11</v>
      </c>
      <c r="Y7" s="4"/>
      <c r="Z7" s="5"/>
      <c r="AA7" s="5"/>
      <c r="AB7" s="1"/>
      <c r="AC7" s="1"/>
      <c r="AD7" s="1"/>
    </row>
    <row r="8" spans="1:30" x14ac:dyDescent="0.35">
      <c r="A8" s="93">
        <f t="shared" ref="A8:X8" si="0">A4*A6</f>
        <v>9</v>
      </c>
      <c r="B8" s="93">
        <f t="shared" si="0"/>
        <v>8</v>
      </c>
      <c r="C8" s="93">
        <f t="shared" si="0"/>
        <v>14</v>
      </c>
      <c r="D8" s="93">
        <f t="shared" si="0"/>
        <v>30</v>
      </c>
      <c r="E8" s="93">
        <f t="shared" si="0"/>
        <v>10</v>
      </c>
      <c r="F8" s="93">
        <f t="shared" si="0"/>
        <v>0</v>
      </c>
      <c r="G8" s="93">
        <f t="shared" si="0"/>
        <v>0</v>
      </c>
      <c r="H8" s="93">
        <f t="shared" si="0"/>
        <v>0</v>
      </c>
      <c r="I8" s="93">
        <f t="shared" si="0"/>
        <v>9</v>
      </c>
      <c r="J8" s="93">
        <f t="shared" si="0"/>
        <v>56</v>
      </c>
      <c r="K8" s="93">
        <f t="shared" si="0"/>
        <v>7</v>
      </c>
      <c r="L8" s="93">
        <f t="shared" si="0"/>
        <v>0</v>
      </c>
      <c r="M8" s="93">
        <f t="shared" si="0"/>
        <v>35</v>
      </c>
      <c r="N8" s="93">
        <f t="shared" si="0"/>
        <v>4</v>
      </c>
      <c r="O8" s="93">
        <f t="shared" si="0"/>
        <v>24</v>
      </c>
      <c r="P8" s="93">
        <f t="shared" si="0"/>
        <v>18</v>
      </c>
      <c r="Q8" s="93">
        <f t="shared" si="0"/>
        <v>9</v>
      </c>
      <c r="R8" s="93">
        <f t="shared" si="0"/>
        <v>8</v>
      </c>
      <c r="S8" s="93">
        <f t="shared" si="0"/>
        <v>14</v>
      </c>
      <c r="T8" s="93">
        <f t="shared" si="0"/>
        <v>18</v>
      </c>
      <c r="U8" s="93">
        <f t="shared" si="0"/>
        <v>0</v>
      </c>
      <c r="V8" s="93">
        <f t="shared" si="0"/>
        <v>32</v>
      </c>
      <c r="W8" s="93">
        <f t="shared" si="0"/>
        <v>3</v>
      </c>
      <c r="X8" s="93">
        <f t="shared" si="0"/>
        <v>0</v>
      </c>
      <c r="Y8" s="94" t="s">
        <v>7</v>
      </c>
      <c r="Z8" s="235" t="s">
        <v>12</v>
      </c>
      <c r="AA8" s="235"/>
      <c r="AB8" s="235"/>
      <c r="AC8" s="235"/>
    </row>
    <row r="9" spans="1:30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1"/>
      <c r="AA9" s="1"/>
      <c r="AB9" s="1"/>
      <c r="AC9" s="1"/>
      <c r="AD9" s="1"/>
    </row>
    <row r="10" spans="1:30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"/>
      <c r="Z10" s="1"/>
      <c r="AA10" s="1"/>
      <c r="AB10" s="1"/>
      <c r="AC10" s="1"/>
      <c r="AD10" s="1"/>
    </row>
    <row r="11" spans="1:30" ht="15.5" x14ac:dyDescent="0.35">
      <c r="A11" s="1"/>
      <c r="B11" s="1"/>
      <c r="C11" s="1"/>
      <c r="D11" s="226" t="s">
        <v>13</v>
      </c>
      <c r="E11" s="226"/>
      <c r="F11" s="226"/>
      <c r="G11" s="226"/>
      <c r="H11" s="226"/>
      <c r="I11" s="226"/>
      <c r="J11" s="226"/>
      <c r="K11" s="226"/>
      <c r="L11" s="227">
        <f>SUM(A8:X8)</f>
        <v>308</v>
      </c>
      <c r="M11" s="227"/>
      <c r="N11" s="5"/>
      <c r="O11" s="5"/>
      <c r="P11" s="1"/>
      <c r="Q11" s="1"/>
      <c r="R11" s="96" t="s">
        <v>14</v>
      </c>
      <c r="S11" s="228">
        <f>SUM(A8:X8)</f>
        <v>308</v>
      </c>
      <c r="T11" s="228"/>
      <c r="U11" s="97" t="s">
        <v>15</v>
      </c>
      <c r="V11" s="97">
        <v>11</v>
      </c>
      <c r="W11" s="97" t="s">
        <v>11</v>
      </c>
      <c r="X11" s="229">
        <f>S11/V11</f>
        <v>28</v>
      </c>
      <c r="Y11" s="229"/>
      <c r="Z11" s="8"/>
      <c r="AA11" s="9"/>
      <c r="AB11" s="9"/>
      <c r="AC11" s="9"/>
      <c r="AD11" s="9"/>
    </row>
    <row r="12" spans="1:30" ht="15.5" x14ac:dyDescent="0.35">
      <c r="A12" s="6"/>
      <c r="B12" s="6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96" t="s">
        <v>14</v>
      </c>
      <c r="S12" s="236">
        <f>INT(X11)</f>
        <v>28</v>
      </c>
      <c r="T12" s="236"/>
      <c r="U12" s="97" t="s">
        <v>9</v>
      </c>
      <c r="V12" s="97">
        <f>V11</f>
        <v>11</v>
      </c>
      <c r="W12" s="97" t="s">
        <v>11</v>
      </c>
      <c r="X12" s="228">
        <f>S12*V12</f>
        <v>308</v>
      </c>
      <c r="Y12" s="228"/>
      <c r="Z12" s="8"/>
      <c r="AA12" s="9"/>
      <c r="AB12" s="9"/>
      <c r="AC12" s="9"/>
      <c r="AD12" s="9"/>
    </row>
    <row r="13" spans="1:30" ht="15.5" x14ac:dyDescent="0.35">
      <c r="A13" s="6"/>
      <c r="B13" s="6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"/>
      <c r="R13" s="96" t="s">
        <v>14</v>
      </c>
      <c r="S13" s="228">
        <f>S11</f>
        <v>308</v>
      </c>
      <c r="T13" s="228"/>
      <c r="U13" s="97" t="s">
        <v>16</v>
      </c>
      <c r="V13" s="97">
        <f>X12</f>
        <v>308</v>
      </c>
      <c r="W13" s="97" t="s">
        <v>11</v>
      </c>
      <c r="X13" s="228">
        <f>S13-V13</f>
        <v>0</v>
      </c>
      <c r="Y13" s="228"/>
      <c r="Z13" s="8"/>
      <c r="AA13" s="9"/>
      <c r="AB13" s="9"/>
      <c r="AC13" s="9"/>
      <c r="AD13" s="9"/>
    </row>
    <row r="14" spans="1:30" ht="15.5" x14ac:dyDescent="0.35">
      <c r="A14" s="6"/>
      <c r="B14" s="6"/>
      <c r="C14" s="6"/>
      <c r="D14" s="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6"/>
      <c r="R14" s="96" t="s">
        <v>14</v>
      </c>
      <c r="S14" s="228">
        <f>V11</f>
        <v>11</v>
      </c>
      <c r="T14" s="228"/>
      <c r="U14" s="97" t="s">
        <v>16</v>
      </c>
      <c r="V14" s="97">
        <f>X13</f>
        <v>0</v>
      </c>
      <c r="W14" s="97" t="s">
        <v>11</v>
      </c>
      <c r="X14" s="228">
        <f>S14-V14</f>
        <v>11</v>
      </c>
      <c r="Y14" s="228"/>
      <c r="Z14" s="8"/>
      <c r="AA14" s="9"/>
      <c r="AB14" s="9"/>
      <c r="AC14" s="9"/>
      <c r="AD14" s="9"/>
    </row>
    <row r="15" spans="1:30" ht="15.5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  <c r="T15" s="7"/>
      <c r="U15" s="7"/>
      <c r="V15" s="7"/>
      <c r="W15" s="7"/>
      <c r="X15" s="7"/>
      <c r="Y15" s="8"/>
      <c r="Z15" s="8"/>
      <c r="AA15" s="9"/>
      <c r="AB15" s="9"/>
      <c r="AC15" s="9"/>
      <c r="AD15" s="9"/>
    </row>
    <row r="16" spans="1:30" ht="15.7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231" t="s">
        <v>17</v>
      </c>
      <c r="S16" s="231"/>
      <c r="T16" s="232" t="s">
        <v>11</v>
      </c>
      <c r="U16" s="233">
        <f>IF(OR(X13&lt;=1),0,X14)</f>
        <v>0</v>
      </c>
      <c r="V16" s="233"/>
      <c r="W16" s="233"/>
      <c r="X16" s="7"/>
      <c r="Y16" s="8"/>
      <c r="Z16" s="8"/>
      <c r="AA16" s="9"/>
      <c r="AB16" s="9"/>
      <c r="AC16" s="9"/>
      <c r="AD16" s="9"/>
    </row>
    <row r="17" spans="16:23" ht="15" customHeight="1" x14ac:dyDescent="0.35">
      <c r="R17" s="231"/>
      <c r="S17" s="231"/>
      <c r="T17" s="232"/>
      <c r="U17" s="233"/>
      <c r="V17" s="233"/>
      <c r="W17" s="233"/>
    </row>
    <row r="18" spans="16:23" x14ac:dyDescent="0.35">
      <c r="P18" s="11"/>
    </row>
  </sheetData>
  <mergeCells count="21">
    <mergeCell ref="R16:S17"/>
    <mergeCell ref="T16:T17"/>
    <mergeCell ref="U16:W17"/>
    <mergeCell ref="Z6:AA6"/>
    <mergeCell ref="Z8:AC8"/>
    <mergeCell ref="S12:T12"/>
    <mergeCell ref="X12:Y12"/>
    <mergeCell ref="S13:T13"/>
    <mergeCell ref="X13:Y13"/>
    <mergeCell ref="S14:T14"/>
    <mergeCell ref="X14:Y14"/>
    <mergeCell ref="D11:K11"/>
    <mergeCell ref="L11:M11"/>
    <mergeCell ref="S11:T11"/>
    <mergeCell ref="X11:Y11"/>
    <mergeCell ref="Z4:AC4"/>
    <mergeCell ref="A1:AD1"/>
    <mergeCell ref="C3:K3"/>
    <mergeCell ref="L3:O3"/>
    <mergeCell ref="P3:Q3"/>
    <mergeCell ref="R3:V3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&amp;C&amp;1#&amp;"Calibri"&amp;10&amp;K000000Classificação da informação: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29EF-8221-4383-873D-0090BB8FF4A8}">
  <sheetPr codeName="Planilha3"/>
  <dimension ref="A1:BH31"/>
  <sheetViews>
    <sheetView topLeftCell="D1" zoomScale="70" zoomScaleNormal="70" workbookViewId="0">
      <selection activeCell="AD5" sqref="AD5"/>
    </sheetView>
  </sheetViews>
  <sheetFormatPr defaultRowHeight="14.5" x14ac:dyDescent="0.35"/>
  <cols>
    <col min="1" max="43" width="5.7265625" customWidth="1"/>
    <col min="44" max="60" width="3.7265625" customWidth="1"/>
  </cols>
  <sheetData>
    <row r="1" spans="1:60" s="12" customFormat="1" ht="18.399999999999999" customHeight="1" x14ac:dyDescent="0.45">
      <c r="A1" s="239" t="s">
        <v>18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</row>
    <row r="2" spans="1:60" s="15" customFormat="1" ht="18.399999999999999" customHeight="1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4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spans="1:60" s="16" customFormat="1" ht="18.399999999999999" customHeight="1" x14ac:dyDescent="0.45">
      <c r="A3" s="98">
        <v>1</v>
      </c>
      <c r="B3" s="98">
        <v>1</v>
      </c>
      <c r="C3" s="98">
        <v>1</v>
      </c>
      <c r="D3" s="99">
        <v>2</v>
      </c>
      <c r="E3" s="100">
        <v>3</v>
      </c>
      <c r="F3" s="100">
        <v>3</v>
      </c>
      <c r="G3" s="100">
        <v>3</v>
      </c>
      <c r="H3" s="100">
        <v>3</v>
      </c>
      <c r="I3" s="99">
        <v>4</v>
      </c>
      <c r="J3" s="99">
        <v>4</v>
      </c>
      <c r="K3" s="99">
        <v>4</v>
      </c>
      <c r="L3" s="99">
        <v>4</v>
      </c>
      <c r="M3" s="99">
        <v>4</v>
      </c>
      <c r="N3" s="99">
        <v>4</v>
      </c>
      <c r="O3" s="99">
        <v>4</v>
      </c>
      <c r="P3" s="99">
        <v>4</v>
      </c>
      <c r="Q3" s="99">
        <v>4</v>
      </c>
      <c r="R3" s="99">
        <v>4</v>
      </c>
      <c r="S3" s="99">
        <v>5</v>
      </c>
      <c r="T3" s="100">
        <v>6</v>
      </c>
      <c r="U3" s="101">
        <v>7</v>
      </c>
      <c r="V3" s="101">
        <v>7</v>
      </c>
      <c r="W3" s="101">
        <v>7</v>
      </c>
      <c r="X3" s="101">
        <v>7</v>
      </c>
      <c r="Y3" s="101">
        <v>7</v>
      </c>
      <c r="Z3" s="101">
        <v>7</v>
      </c>
      <c r="AA3" s="101">
        <v>7</v>
      </c>
      <c r="AB3" s="101">
        <v>7</v>
      </c>
      <c r="AC3" s="101">
        <v>7</v>
      </c>
      <c r="AD3" s="102">
        <v>8</v>
      </c>
      <c r="AE3" s="102">
        <v>8</v>
      </c>
      <c r="AF3" s="102">
        <v>8</v>
      </c>
      <c r="AG3" s="102">
        <v>8</v>
      </c>
      <c r="AH3" s="103">
        <v>9</v>
      </c>
      <c r="AI3" s="103">
        <v>9</v>
      </c>
      <c r="AJ3" s="104">
        <v>10</v>
      </c>
      <c r="AK3" s="104">
        <v>10</v>
      </c>
      <c r="AL3" s="104">
        <v>10</v>
      </c>
      <c r="AM3" s="104">
        <v>10</v>
      </c>
      <c r="AN3" s="104">
        <v>10</v>
      </c>
      <c r="AO3" s="99">
        <v>11</v>
      </c>
      <c r="AP3" s="99">
        <v>12</v>
      </c>
      <c r="AQ3" s="99">
        <v>13</v>
      </c>
      <c r="AR3" s="240" t="s">
        <v>19</v>
      </c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</row>
    <row r="4" spans="1:60" s="16" customFormat="1" ht="18.399999999999999" customHeight="1" x14ac:dyDescent="0.45">
      <c r="A4" s="241" t="s">
        <v>20</v>
      </c>
      <c r="B4" s="241"/>
      <c r="C4" s="241"/>
      <c r="D4" s="45">
        <v>9</v>
      </c>
      <c r="E4" s="241" t="s">
        <v>21</v>
      </c>
      <c r="F4" s="241"/>
      <c r="G4" s="241"/>
      <c r="H4" s="241"/>
      <c r="I4" s="241" t="s">
        <v>22</v>
      </c>
      <c r="J4" s="241"/>
      <c r="K4" s="241"/>
      <c r="L4" s="241"/>
      <c r="M4" s="241"/>
      <c r="N4" s="241"/>
      <c r="O4" s="241"/>
      <c r="P4" s="241"/>
      <c r="Q4" s="241"/>
      <c r="R4" s="241"/>
      <c r="S4" s="45">
        <v>1</v>
      </c>
      <c r="T4" s="45">
        <v>1</v>
      </c>
      <c r="U4" s="241" t="s">
        <v>2</v>
      </c>
      <c r="V4" s="241"/>
      <c r="W4" s="241"/>
      <c r="X4" s="241"/>
      <c r="Y4" s="241"/>
      <c r="Z4" s="241"/>
      <c r="AA4" s="241"/>
      <c r="AB4" s="241"/>
      <c r="AC4" s="241"/>
      <c r="AD4" s="241" t="s">
        <v>23</v>
      </c>
      <c r="AE4" s="241"/>
      <c r="AF4" s="241"/>
      <c r="AG4" s="241"/>
      <c r="AH4" s="241" t="s">
        <v>4</v>
      </c>
      <c r="AI4" s="241"/>
      <c r="AJ4" s="241" t="s">
        <v>24</v>
      </c>
      <c r="AK4" s="241"/>
      <c r="AL4" s="241"/>
      <c r="AM4" s="241"/>
      <c r="AN4" s="241"/>
      <c r="AO4" s="46" t="s">
        <v>25</v>
      </c>
      <c r="AP4" s="45">
        <v>0</v>
      </c>
      <c r="AQ4" s="242" t="s">
        <v>26</v>
      </c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</row>
    <row r="5" spans="1:60" s="17" customFormat="1" ht="18.399999999999999" customHeight="1" x14ac:dyDescent="0.45">
      <c r="A5" s="43">
        <v>7</v>
      </c>
      <c r="B5" s="43">
        <v>4</v>
      </c>
      <c r="C5" s="43">
        <v>8</v>
      </c>
      <c r="D5" s="43">
        <v>9</v>
      </c>
      <c r="E5" s="108">
        <v>1</v>
      </c>
      <c r="F5" s="108">
        <v>1</v>
      </c>
      <c r="G5" s="108">
        <v>0</v>
      </c>
      <c r="H5" s="108">
        <v>4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1</v>
      </c>
      <c r="Q5" s="108">
        <v>0</v>
      </c>
      <c r="R5" s="108">
        <v>0</v>
      </c>
      <c r="S5" s="43">
        <v>1</v>
      </c>
      <c r="T5" s="43">
        <v>1</v>
      </c>
      <c r="U5" s="108">
        <v>2</v>
      </c>
      <c r="V5" s="108">
        <v>4</v>
      </c>
      <c r="W5" s="108">
        <v>2</v>
      </c>
      <c r="X5" s="108">
        <v>0</v>
      </c>
      <c r="Y5" s="108">
        <v>0</v>
      </c>
      <c r="Z5" s="108">
        <v>0</v>
      </c>
      <c r="AA5" s="108">
        <v>0</v>
      </c>
      <c r="AB5" s="108">
        <v>6</v>
      </c>
      <c r="AC5" s="108">
        <v>5</v>
      </c>
      <c r="AD5" s="108">
        <v>0</v>
      </c>
      <c r="AE5" s="108">
        <v>4</v>
      </c>
      <c r="AF5" s="108">
        <v>3</v>
      </c>
      <c r="AG5" s="108">
        <v>4</v>
      </c>
      <c r="AH5" s="108">
        <v>2</v>
      </c>
      <c r="AI5" s="108">
        <v>8</v>
      </c>
      <c r="AJ5" s="108">
        <v>9</v>
      </c>
      <c r="AK5" s="108">
        <v>8</v>
      </c>
      <c r="AL5" s="108">
        <v>8</v>
      </c>
      <c r="AM5" s="108">
        <v>7</v>
      </c>
      <c r="AN5" s="108">
        <v>9</v>
      </c>
      <c r="AO5" s="43">
        <v>1</v>
      </c>
      <c r="AP5" s="115">
        <v>0</v>
      </c>
      <c r="AQ5" s="118">
        <v>4</v>
      </c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</row>
    <row r="6" spans="1:60" s="18" customFormat="1" ht="18.399999999999999" customHeight="1" x14ac:dyDescent="0.45">
      <c r="A6" s="106" t="s">
        <v>9</v>
      </c>
      <c r="B6" s="106" t="s">
        <v>9</v>
      </c>
      <c r="C6" s="106" t="s">
        <v>9</v>
      </c>
      <c r="D6" s="106" t="s">
        <v>9</v>
      </c>
      <c r="E6" s="106" t="s">
        <v>9</v>
      </c>
      <c r="F6" s="106" t="s">
        <v>9</v>
      </c>
      <c r="G6" s="106" t="s">
        <v>9</v>
      </c>
      <c r="H6" s="106" t="s">
        <v>9</v>
      </c>
      <c r="I6" s="106" t="s">
        <v>9</v>
      </c>
      <c r="J6" s="106" t="s">
        <v>9</v>
      </c>
      <c r="K6" s="106" t="s">
        <v>9</v>
      </c>
      <c r="L6" s="106" t="s">
        <v>9</v>
      </c>
      <c r="M6" s="106" t="s">
        <v>9</v>
      </c>
      <c r="N6" s="106" t="s">
        <v>9</v>
      </c>
      <c r="O6" s="106" t="s">
        <v>9</v>
      </c>
      <c r="P6" s="106" t="s">
        <v>9</v>
      </c>
      <c r="Q6" s="106" t="s">
        <v>9</v>
      </c>
      <c r="R6" s="106" t="s">
        <v>9</v>
      </c>
      <c r="S6" s="106" t="s">
        <v>9</v>
      </c>
      <c r="T6" s="106" t="s">
        <v>9</v>
      </c>
      <c r="U6" s="106" t="s">
        <v>9</v>
      </c>
      <c r="V6" s="106" t="s">
        <v>9</v>
      </c>
      <c r="W6" s="106" t="s">
        <v>9</v>
      </c>
      <c r="X6" s="106" t="s">
        <v>9</v>
      </c>
      <c r="Y6" s="106" t="s">
        <v>9</v>
      </c>
      <c r="Z6" s="106" t="s">
        <v>9</v>
      </c>
      <c r="AA6" s="106" t="s">
        <v>9</v>
      </c>
      <c r="AB6" s="106" t="s">
        <v>9</v>
      </c>
      <c r="AC6" s="106" t="s">
        <v>9</v>
      </c>
      <c r="AD6" s="106" t="s">
        <v>9</v>
      </c>
      <c r="AE6" s="106" t="s">
        <v>9</v>
      </c>
      <c r="AF6" s="106" t="s">
        <v>9</v>
      </c>
      <c r="AG6" s="106" t="s">
        <v>9</v>
      </c>
      <c r="AH6" s="106" t="s">
        <v>9</v>
      </c>
      <c r="AI6" s="106" t="s">
        <v>9</v>
      </c>
      <c r="AJ6" s="106" t="s">
        <v>9</v>
      </c>
      <c r="AK6" s="106" t="s">
        <v>9</v>
      </c>
      <c r="AL6" s="106" t="s">
        <v>9</v>
      </c>
      <c r="AM6" s="106" t="s">
        <v>9</v>
      </c>
      <c r="AN6" s="106" t="s">
        <v>9</v>
      </c>
      <c r="AO6" s="106" t="s">
        <v>9</v>
      </c>
      <c r="AP6" s="114" t="s">
        <v>9</v>
      </c>
      <c r="AQ6" s="117" t="s">
        <v>9</v>
      </c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</row>
    <row r="7" spans="1:60" s="18" customFormat="1" ht="18.399999999999999" customHeight="1" x14ac:dyDescent="0.45">
      <c r="A7" s="107">
        <v>4</v>
      </c>
      <c r="B7" s="107">
        <v>3</v>
      </c>
      <c r="C7" s="107">
        <v>2</v>
      </c>
      <c r="D7" s="107">
        <v>9</v>
      </c>
      <c r="E7" s="107">
        <v>8</v>
      </c>
      <c r="F7" s="107">
        <v>7</v>
      </c>
      <c r="G7" s="107">
        <v>6</v>
      </c>
      <c r="H7" s="107">
        <v>5</v>
      </c>
      <c r="I7" s="107">
        <v>4</v>
      </c>
      <c r="J7" s="107">
        <v>3</v>
      </c>
      <c r="K7" s="107">
        <v>2</v>
      </c>
      <c r="L7" s="107">
        <v>9</v>
      </c>
      <c r="M7" s="107">
        <v>8</v>
      </c>
      <c r="N7" s="107">
        <v>7</v>
      </c>
      <c r="O7" s="107">
        <v>6</v>
      </c>
      <c r="P7" s="107">
        <v>5</v>
      </c>
      <c r="Q7" s="107">
        <v>4</v>
      </c>
      <c r="R7" s="107">
        <v>3</v>
      </c>
      <c r="S7" s="107">
        <v>2</v>
      </c>
      <c r="T7" s="107">
        <v>9</v>
      </c>
      <c r="U7" s="107">
        <v>8</v>
      </c>
      <c r="V7" s="107">
        <v>7</v>
      </c>
      <c r="W7" s="107">
        <v>6</v>
      </c>
      <c r="X7" s="107">
        <v>5</v>
      </c>
      <c r="Y7" s="107">
        <v>4</v>
      </c>
      <c r="Z7" s="107">
        <v>3</v>
      </c>
      <c r="AA7" s="107">
        <v>2</v>
      </c>
      <c r="AB7" s="107">
        <v>9</v>
      </c>
      <c r="AC7" s="107">
        <v>8</v>
      </c>
      <c r="AD7" s="107">
        <v>7</v>
      </c>
      <c r="AE7" s="107">
        <v>6</v>
      </c>
      <c r="AF7" s="107">
        <v>5</v>
      </c>
      <c r="AG7" s="107">
        <v>4</v>
      </c>
      <c r="AH7" s="107">
        <v>3</v>
      </c>
      <c r="AI7" s="107">
        <v>2</v>
      </c>
      <c r="AJ7" s="107">
        <v>9</v>
      </c>
      <c r="AK7" s="107">
        <v>8</v>
      </c>
      <c r="AL7" s="107">
        <v>7</v>
      </c>
      <c r="AM7" s="107">
        <v>6</v>
      </c>
      <c r="AN7" s="107">
        <v>5</v>
      </c>
      <c r="AO7" s="107">
        <v>4</v>
      </c>
      <c r="AP7" s="107">
        <v>3</v>
      </c>
      <c r="AQ7" s="116">
        <v>2</v>
      </c>
      <c r="AR7" s="244" t="s">
        <v>27</v>
      </c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</row>
    <row r="8" spans="1:60" s="12" customFormat="1" ht="18.399999999999999" customHeight="1" x14ac:dyDescent="0.45">
      <c r="A8" s="89" t="s">
        <v>11</v>
      </c>
      <c r="B8" s="90" t="s">
        <v>11</v>
      </c>
      <c r="C8" s="90" t="s">
        <v>11</v>
      </c>
      <c r="D8" s="90" t="s">
        <v>11</v>
      </c>
      <c r="E8" s="91" t="s">
        <v>11</v>
      </c>
      <c r="F8" s="91" t="s">
        <v>11</v>
      </c>
      <c r="G8" s="92" t="s">
        <v>11</v>
      </c>
      <c r="H8" s="91" t="s">
        <v>11</v>
      </c>
      <c r="I8" s="89" t="s">
        <v>11</v>
      </c>
      <c r="J8" s="91" t="s">
        <v>11</v>
      </c>
      <c r="K8" s="89" t="s">
        <v>11</v>
      </c>
      <c r="L8" s="91" t="s">
        <v>11</v>
      </c>
      <c r="M8" s="89" t="s">
        <v>11</v>
      </c>
      <c r="N8" s="91" t="s">
        <v>11</v>
      </c>
      <c r="O8" s="89" t="s">
        <v>11</v>
      </c>
      <c r="P8" s="91" t="s">
        <v>11</v>
      </c>
      <c r="Q8" s="89" t="s">
        <v>11</v>
      </c>
      <c r="R8" s="91" t="s">
        <v>11</v>
      </c>
      <c r="S8" s="92" t="s">
        <v>11</v>
      </c>
      <c r="T8" s="89" t="s">
        <v>11</v>
      </c>
      <c r="U8" s="91" t="s">
        <v>11</v>
      </c>
      <c r="V8" s="89" t="s">
        <v>11</v>
      </c>
      <c r="W8" s="91" t="s">
        <v>11</v>
      </c>
      <c r="X8" s="92" t="s">
        <v>11</v>
      </c>
      <c r="Y8" s="89" t="s">
        <v>11</v>
      </c>
      <c r="Z8" s="90" t="s">
        <v>11</v>
      </c>
      <c r="AA8" s="90" t="s">
        <v>11</v>
      </c>
      <c r="AB8" s="90" t="s">
        <v>11</v>
      </c>
      <c r="AC8" s="91" t="s">
        <v>11</v>
      </c>
      <c r="AD8" s="91" t="s">
        <v>11</v>
      </c>
      <c r="AE8" s="92" t="s">
        <v>11</v>
      </c>
      <c r="AF8" s="91" t="s">
        <v>11</v>
      </c>
      <c r="AG8" s="89" t="s">
        <v>11</v>
      </c>
      <c r="AH8" s="91" t="s">
        <v>11</v>
      </c>
      <c r="AI8" s="89" t="s">
        <v>11</v>
      </c>
      <c r="AJ8" s="91" t="s">
        <v>11</v>
      </c>
      <c r="AK8" s="89" t="s">
        <v>11</v>
      </c>
      <c r="AL8" s="91" t="s">
        <v>11</v>
      </c>
      <c r="AM8" s="89" t="s">
        <v>11</v>
      </c>
      <c r="AN8" s="91" t="s">
        <v>11</v>
      </c>
      <c r="AO8" s="89" t="s">
        <v>11</v>
      </c>
      <c r="AP8" s="91" t="s">
        <v>11</v>
      </c>
      <c r="AQ8" s="92" t="s">
        <v>11</v>
      </c>
      <c r="AR8" s="253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</row>
    <row r="9" spans="1:60" s="19" customFormat="1" ht="18.399999999999999" customHeight="1" x14ac:dyDescent="0.45">
      <c r="A9" s="110">
        <f t="shared" ref="A9:AQ9" si="0">A7*A5</f>
        <v>28</v>
      </c>
      <c r="B9" s="110">
        <f t="shared" si="0"/>
        <v>12</v>
      </c>
      <c r="C9" s="110">
        <f t="shared" si="0"/>
        <v>16</v>
      </c>
      <c r="D9" s="110">
        <f t="shared" si="0"/>
        <v>81</v>
      </c>
      <c r="E9" s="110">
        <f t="shared" si="0"/>
        <v>8</v>
      </c>
      <c r="F9" s="110">
        <f t="shared" si="0"/>
        <v>7</v>
      </c>
      <c r="G9" s="110">
        <f t="shared" si="0"/>
        <v>0</v>
      </c>
      <c r="H9" s="110">
        <f t="shared" si="0"/>
        <v>20</v>
      </c>
      <c r="I9" s="110">
        <f t="shared" si="0"/>
        <v>0</v>
      </c>
      <c r="J9" s="110">
        <f t="shared" si="0"/>
        <v>0</v>
      </c>
      <c r="K9" s="110">
        <f t="shared" si="0"/>
        <v>0</v>
      </c>
      <c r="L9" s="110">
        <f t="shared" si="0"/>
        <v>0</v>
      </c>
      <c r="M9" s="110">
        <f t="shared" si="0"/>
        <v>0</v>
      </c>
      <c r="N9" s="110">
        <f t="shared" si="0"/>
        <v>0</v>
      </c>
      <c r="O9" s="110">
        <f t="shared" si="0"/>
        <v>0</v>
      </c>
      <c r="P9" s="110">
        <f t="shared" si="0"/>
        <v>5</v>
      </c>
      <c r="Q9" s="110">
        <f t="shared" si="0"/>
        <v>0</v>
      </c>
      <c r="R9" s="110">
        <f t="shared" si="0"/>
        <v>0</v>
      </c>
      <c r="S9" s="110">
        <f t="shared" si="0"/>
        <v>2</v>
      </c>
      <c r="T9" s="110">
        <f t="shared" si="0"/>
        <v>9</v>
      </c>
      <c r="U9" s="110">
        <f t="shared" si="0"/>
        <v>16</v>
      </c>
      <c r="V9" s="110">
        <f t="shared" si="0"/>
        <v>28</v>
      </c>
      <c r="W9" s="110">
        <f t="shared" si="0"/>
        <v>12</v>
      </c>
      <c r="X9" s="110">
        <f t="shared" si="0"/>
        <v>0</v>
      </c>
      <c r="Y9" s="110">
        <f t="shared" si="0"/>
        <v>0</v>
      </c>
      <c r="Z9" s="110">
        <f t="shared" si="0"/>
        <v>0</v>
      </c>
      <c r="AA9" s="110">
        <f t="shared" si="0"/>
        <v>0</v>
      </c>
      <c r="AB9" s="110">
        <f t="shared" si="0"/>
        <v>54</v>
      </c>
      <c r="AC9" s="110">
        <f t="shared" si="0"/>
        <v>40</v>
      </c>
      <c r="AD9" s="110">
        <f t="shared" si="0"/>
        <v>0</v>
      </c>
      <c r="AE9" s="110">
        <f t="shared" si="0"/>
        <v>24</v>
      </c>
      <c r="AF9" s="110">
        <f t="shared" si="0"/>
        <v>15</v>
      </c>
      <c r="AG9" s="110">
        <f t="shared" si="0"/>
        <v>16</v>
      </c>
      <c r="AH9" s="110">
        <f t="shared" si="0"/>
        <v>6</v>
      </c>
      <c r="AI9" s="110">
        <f t="shared" si="0"/>
        <v>16</v>
      </c>
      <c r="AJ9" s="110">
        <f t="shared" si="0"/>
        <v>81</v>
      </c>
      <c r="AK9" s="110">
        <f t="shared" si="0"/>
        <v>64</v>
      </c>
      <c r="AL9" s="110">
        <f t="shared" si="0"/>
        <v>56</v>
      </c>
      <c r="AM9" s="110">
        <f t="shared" si="0"/>
        <v>42</v>
      </c>
      <c r="AN9" s="110">
        <f t="shared" si="0"/>
        <v>45</v>
      </c>
      <c r="AO9" s="110">
        <f t="shared" si="0"/>
        <v>4</v>
      </c>
      <c r="AP9" s="110">
        <f t="shared" si="0"/>
        <v>0</v>
      </c>
      <c r="AQ9" s="110">
        <f t="shared" si="0"/>
        <v>8</v>
      </c>
      <c r="AR9" s="245" t="s">
        <v>28</v>
      </c>
      <c r="AS9" s="245"/>
      <c r="AT9" s="245"/>
      <c r="AU9" s="245"/>
      <c r="AV9" s="245"/>
      <c r="AW9" s="245"/>
      <c r="AX9" s="245"/>
      <c r="AY9" s="245"/>
      <c r="AZ9" s="245"/>
      <c r="BA9" s="245"/>
      <c r="BB9" s="245"/>
      <c r="BC9" s="245"/>
      <c r="BD9" s="245"/>
      <c r="BE9" s="245"/>
      <c r="BF9" s="245"/>
      <c r="BG9" s="245"/>
      <c r="BH9" s="245"/>
    </row>
    <row r="10" spans="1:60" s="12" customFormat="1" ht="18.399999999999999" customHeight="1" x14ac:dyDescent="0.4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20"/>
    </row>
    <row r="11" spans="1:60" s="12" customFormat="1" ht="18.399999999999999" customHeight="1" x14ac:dyDescent="0.4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246">
        <f>SUM(A9:AQ9)</f>
        <v>715</v>
      </c>
      <c r="N11" s="246"/>
      <c r="O11" s="111" t="s">
        <v>15</v>
      </c>
      <c r="P11" s="111">
        <v>11</v>
      </c>
      <c r="Q11" s="111" t="s">
        <v>11</v>
      </c>
      <c r="R11" s="247">
        <f>MOD(M11,P11)</f>
        <v>0</v>
      </c>
      <c r="S11" s="247"/>
      <c r="T11" s="21" t="s">
        <v>29</v>
      </c>
      <c r="U11" s="112"/>
      <c r="V11" s="111">
        <v>11</v>
      </c>
      <c r="W11" s="111" t="s">
        <v>16</v>
      </c>
      <c r="X11" s="111">
        <f>R11</f>
        <v>0</v>
      </c>
      <c r="Y11" s="111" t="s">
        <v>11</v>
      </c>
      <c r="Z11" s="113">
        <f>V11-X11</f>
        <v>11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20"/>
    </row>
    <row r="12" spans="1:60" s="12" customFormat="1" ht="18.399999999999999" customHeight="1" x14ac:dyDescent="0.4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20"/>
    </row>
    <row r="13" spans="1:60" s="12" customFormat="1" ht="18.399999999999999" customHeight="1" x14ac:dyDescent="0.4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48" t="s">
        <v>30</v>
      </c>
      <c r="R13" s="248"/>
      <c r="S13" s="248"/>
      <c r="T13" s="248">
        <f>IF(OR(Z11&lt;2,Z11&gt;9),1,Z11)</f>
        <v>1</v>
      </c>
      <c r="U13" s="248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20"/>
    </row>
    <row r="14" spans="1:60" s="15" customFormat="1" ht="18.399999999999999" customHeight="1" x14ac:dyDescent="0.45">
      <c r="Q14" s="248"/>
      <c r="R14" s="248"/>
      <c r="S14" s="248"/>
      <c r="T14" s="248"/>
      <c r="U14" s="248"/>
      <c r="AD14" s="22"/>
    </row>
    <row r="18" spans="1:43" ht="15" customHeight="1" x14ac:dyDescent="0.35">
      <c r="A18" s="249" t="s">
        <v>31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1"/>
    </row>
    <row r="19" spans="1:43" x14ac:dyDescent="0.35">
      <c r="A19" s="105">
        <v>1</v>
      </c>
      <c r="B19" s="105"/>
      <c r="C19" s="252" t="s">
        <v>32</v>
      </c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</row>
    <row r="20" spans="1:43" x14ac:dyDescent="0.35">
      <c r="A20" s="105">
        <v>2</v>
      </c>
      <c r="B20" s="105"/>
      <c r="C20" s="243" t="s">
        <v>33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</row>
    <row r="21" spans="1:43" x14ac:dyDescent="0.35">
      <c r="A21" s="105">
        <v>3</v>
      </c>
      <c r="B21" s="105"/>
      <c r="C21" s="243" t="s">
        <v>21</v>
      </c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</row>
    <row r="22" spans="1:43" x14ac:dyDescent="0.35">
      <c r="A22" s="105">
        <v>4</v>
      </c>
      <c r="B22" s="105"/>
      <c r="C22" s="243" t="s">
        <v>34</v>
      </c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</row>
    <row r="23" spans="1:43" x14ac:dyDescent="0.35">
      <c r="A23" s="105">
        <v>5</v>
      </c>
      <c r="B23" s="105"/>
      <c r="C23" s="243" t="s">
        <v>39</v>
      </c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</row>
    <row r="24" spans="1:43" x14ac:dyDescent="0.35">
      <c r="A24" s="105">
        <v>6</v>
      </c>
      <c r="B24" s="105"/>
      <c r="C24" s="243" t="s">
        <v>35</v>
      </c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</row>
    <row r="25" spans="1:43" x14ac:dyDescent="0.35">
      <c r="A25" s="105">
        <v>7</v>
      </c>
      <c r="B25" s="105"/>
      <c r="C25" s="243" t="s">
        <v>2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</row>
    <row r="26" spans="1:43" x14ac:dyDescent="0.35">
      <c r="A26" s="105">
        <v>8</v>
      </c>
      <c r="B26" s="105"/>
      <c r="C26" s="243" t="s">
        <v>36</v>
      </c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</row>
    <row r="27" spans="1:43" x14ac:dyDescent="0.35">
      <c r="A27" s="105">
        <v>9</v>
      </c>
      <c r="B27" s="105"/>
      <c r="C27" s="243" t="s">
        <v>37</v>
      </c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</row>
    <row r="28" spans="1:43" x14ac:dyDescent="0.35">
      <c r="A28" s="105">
        <v>10</v>
      </c>
      <c r="B28" s="105"/>
      <c r="C28" s="243" t="s">
        <v>38</v>
      </c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</row>
    <row r="29" spans="1:43" x14ac:dyDescent="0.35">
      <c r="A29" s="105">
        <v>11</v>
      </c>
      <c r="B29" s="105"/>
      <c r="C29" s="243" t="s">
        <v>40</v>
      </c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spans="1:43" x14ac:dyDescent="0.35">
      <c r="A30" s="105">
        <v>12</v>
      </c>
      <c r="B30" s="105"/>
      <c r="C30" s="243" t="s">
        <v>6</v>
      </c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</row>
    <row r="31" spans="1:43" x14ac:dyDescent="0.35">
      <c r="A31" s="105">
        <v>13</v>
      </c>
      <c r="B31" s="105"/>
      <c r="C31" s="243" t="s">
        <v>26</v>
      </c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</row>
  </sheetData>
  <mergeCells count="32">
    <mergeCell ref="C30:AQ30"/>
    <mergeCell ref="C31:AQ31"/>
    <mergeCell ref="C24:AQ24"/>
    <mergeCell ref="C25:AQ25"/>
    <mergeCell ref="C26:AQ26"/>
    <mergeCell ref="C27:AQ27"/>
    <mergeCell ref="C28:AQ28"/>
    <mergeCell ref="C29:AQ29"/>
    <mergeCell ref="C23:AQ23"/>
    <mergeCell ref="AR7:BH7"/>
    <mergeCell ref="AR9:BH9"/>
    <mergeCell ref="M11:N11"/>
    <mergeCell ref="R11:S11"/>
    <mergeCell ref="Q13:S14"/>
    <mergeCell ref="T13:U14"/>
    <mergeCell ref="A18:AQ18"/>
    <mergeCell ref="C19:AQ19"/>
    <mergeCell ref="C20:AQ20"/>
    <mergeCell ref="C21:AQ21"/>
    <mergeCell ref="C22:AQ22"/>
    <mergeCell ref="AR8:BH8"/>
    <mergeCell ref="AR5:BH6"/>
    <mergeCell ref="A1:AQ1"/>
    <mergeCell ref="AR3:BH3"/>
    <mergeCell ref="A4:C4"/>
    <mergeCell ref="E4:H4"/>
    <mergeCell ref="I4:R4"/>
    <mergeCell ref="U4:AC4"/>
    <mergeCell ref="AD4:AG4"/>
    <mergeCell ref="AH4:AI4"/>
    <mergeCell ref="AJ4:AN4"/>
    <mergeCell ref="AQ4:BH4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&amp;C&amp;1#&amp;"Calibri"&amp;10&amp;K000000Classificação da informação: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62E9-225C-4C54-BA1E-280303CE678E}">
  <sheetPr codeName="Planilha4"/>
  <dimension ref="A1:M28"/>
  <sheetViews>
    <sheetView workbookViewId="0">
      <selection activeCell="L24" sqref="L24"/>
    </sheetView>
  </sheetViews>
  <sheetFormatPr defaultRowHeight="14.5" x14ac:dyDescent="0.35"/>
  <cols>
    <col min="1" max="9" width="8.7265625" customWidth="1"/>
    <col min="11" max="11" width="18.54296875" customWidth="1"/>
  </cols>
  <sheetData>
    <row r="1" spans="1:13" ht="17.5" x14ac:dyDescent="0.35">
      <c r="A1" s="255" t="s">
        <v>60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17.5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7.5" x14ac:dyDescent="0.35">
      <c r="A3" s="256" t="s">
        <v>61</v>
      </c>
      <c r="B3" s="256"/>
      <c r="C3" s="256"/>
      <c r="D3" s="257" t="s">
        <v>62</v>
      </c>
      <c r="E3" s="257" t="s">
        <v>72</v>
      </c>
      <c r="F3" s="258" t="s">
        <v>63</v>
      </c>
      <c r="G3" s="259" t="s">
        <v>64</v>
      </c>
      <c r="H3" s="259"/>
      <c r="I3" s="259"/>
      <c r="J3" s="33"/>
      <c r="K3" s="33"/>
      <c r="L3" s="33"/>
      <c r="M3" s="33"/>
    </row>
    <row r="4" spans="1:13" x14ac:dyDescent="0.35">
      <c r="A4" s="256"/>
      <c r="B4" s="256"/>
      <c r="C4" s="256"/>
      <c r="D4" s="257"/>
      <c r="E4" s="257"/>
      <c r="F4" s="258"/>
      <c r="G4" s="259"/>
      <c r="H4" s="259"/>
      <c r="I4" s="259"/>
      <c r="J4" s="34"/>
      <c r="K4" s="34"/>
      <c r="L4" s="34"/>
    </row>
    <row r="5" spans="1:13" x14ac:dyDescent="0.35">
      <c r="A5" s="119">
        <v>7</v>
      </c>
      <c r="B5" s="120">
        <v>4</v>
      </c>
      <c r="C5" s="121">
        <v>8</v>
      </c>
      <c r="D5" s="122">
        <v>9</v>
      </c>
      <c r="E5" s="122">
        <f>[1]Bloqueto!G34</f>
        <v>1</v>
      </c>
      <c r="F5" s="119">
        <v>1</v>
      </c>
      <c r="G5" s="126"/>
      <c r="H5" s="126"/>
      <c r="I5" s="126"/>
      <c r="J5" s="264" t="s">
        <v>65</v>
      </c>
      <c r="K5" s="264"/>
      <c r="L5" s="29"/>
      <c r="M5" s="31"/>
    </row>
    <row r="6" spans="1:13" x14ac:dyDescent="0.35">
      <c r="A6" s="123" t="s">
        <v>9</v>
      </c>
      <c r="B6" s="123" t="s">
        <v>9</v>
      </c>
      <c r="C6" s="123" t="s">
        <v>9</v>
      </c>
      <c r="D6" s="123" t="s">
        <v>9</v>
      </c>
      <c r="E6" s="123" t="s">
        <v>9</v>
      </c>
      <c r="F6" s="123" t="s">
        <v>9</v>
      </c>
      <c r="G6" s="123" t="s">
        <v>9</v>
      </c>
      <c r="H6" s="123" t="s">
        <v>9</v>
      </c>
      <c r="I6" s="123" t="s">
        <v>9</v>
      </c>
      <c r="J6" s="34"/>
      <c r="K6" s="34"/>
      <c r="L6" s="34"/>
    </row>
    <row r="7" spans="1:13" x14ac:dyDescent="0.35">
      <c r="A7" s="125">
        <v>2</v>
      </c>
      <c r="B7" s="125">
        <v>1</v>
      </c>
      <c r="C7" s="125">
        <v>2</v>
      </c>
      <c r="D7" s="125">
        <v>1</v>
      </c>
      <c r="E7" s="125">
        <v>2</v>
      </c>
      <c r="F7" s="125">
        <v>1</v>
      </c>
      <c r="G7" s="125">
        <v>2</v>
      </c>
      <c r="H7" s="125">
        <v>1</v>
      </c>
      <c r="I7" s="125">
        <v>2</v>
      </c>
      <c r="J7" s="265" t="s">
        <v>44</v>
      </c>
      <c r="K7" s="265"/>
      <c r="L7" s="34"/>
    </row>
    <row r="8" spans="1:13" x14ac:dyDescent="0.35">
      <c r="A8" s="124" t="s">
        <v>11</v>
      </c>
      <c r="B8" s="124" t="s">
        <v>11</v>
      </c>
      <c r="C8" s="124" t="s">
        <v>11</v>
      </c>
      <c r="D8" s="124" t="s">
        <v>11</v>
      </c>
      <c r="E8" s="124" t="s">
        <v>11</v>
      </c>
      <c r="F8" s="124" t="s">
        <v>11</v>
      </c>
      <c r="G8" s="124" t="s">
        <v>11</v>
      </c>
      <c r="H8" s="124" t="s">
        <v>11</v>
      </c>
      <c r="I8" s="124" t="s">
        <v>11</v>
      </c>
      <c r="J8" s="37"/>
      <c r="K8" s="34"/>
      <c r="L8" s="34"/>
    </row>
    <row r="9" spans="1:13" x14ac:dyDescent="0.35">
      <c r="A9" s="127">
        <f t="shared" ref="A9:I9" si="0">A7*A5</f>
        <v>14</v>
      </c>
      <c r="B9" s="127">
        <f t="shared" si="0"/>
        <v>4</v>
      </c>
      <c r="C9" s="127">
        <f t="shared" si="0"/>
        <v>16</v>
      </c>
      <c r="D9" s="127">
        <f t="shared" si="0"/>
        <v>9</v>
      </c>
      <c r="E9" s="127">
        <f t="shared" si="0"/>
        <v>2</v>
      </c>
      <c r="F9" s="127">
        <f t="shared" si="0"/>
        <v>1</v>
      </c>
      <c r="G9" s="127">
        <f t="shared" si="0"/>
        <v>0</v>
      </c>
      <c r="H9" s="127">
        <f t="shared" si="0"/>
        <v>0</v>
      </c>
      <c r="I9" s="127">
        <f t="shared" si="0"/>
        <v>0</v>
      </c>
      <c r="J9" s="266" t="s">
        <v>45</v>
      </c>
      <c r="K9" s="266"/>
      <c r="L9" s="34"/>
    </row>
    <row r="10" spans="1:13" x14ac:dyDescent="0.35">
      <c r="A10" s="34"/>
      <c r="B10" s="34"/>
      <c r="C10" s="34"/>
      <c r="D10" s="34"/>
      <c r="E10" s="34"/>
      <c r="F10" s="34"/>
      <c r="G10" s="34"/>
      <c r="H10" s="34"/>
      <c r="I10" s="34"/>
      <c r="J10" s="29"/>
      <c r="K10" s="34"/>
      <c r="L10" s="34"/>
    </row>
    <row r="11" spans="1:13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29"/>
      <c r="K11" s="34"/>
      <c r="L11" s="34"/>
    </row>
    <row r="12" spans="1:13" x14ac:dyDescent="0.35">
      <c r="A12" s="267" t="s">
        <v>46</v>
      </c>
      <c r="B12" s="267"/>
      <c r="C12" s="267"/>
      <c r="D12" s="267"/>
      <c r="E12" s="267"/>
      <c r="F12" s="267"/>
      <c r="G12" s="267"/>
      <c r="H12" s="267"/>
      <c r="I12" s="267"/>
      <c r="J12" s="267"/>
      <c r="K12" s="34"/>
      <c r="L12" s="34"/>
    </row>
    <row r="13" spans="1:13" x14ac:dyDescent="0.35">
      <c r="A13" s="34"/>
      <c r="B13" s="34"/>
      <c r="C13" s="34"/>
      <c r="D13" s="34"/>
      <c r="E13" s="34"/>
      <c r="F13" s="34"/>
      <c r="G13" s="34"/>
      <c r="H13" s="34"/>
      <c r="I13" s="34"/>
      <c r="J13" s="29"/>
      <c r="K13" s="34"/>
      <c r="L13" s="34"/>
    </row>
    <row r="14" spans="1:13" x14ac:dyDescent="0.35">
      <c r="A14" s="128">
        <f>A9</f>
        <v>14</v>
      </c>
      <c r="B14" s="36" t="s">
        <v>11</v>
      </c>
      <c r="C14" s="129">
        <f>VALUE(LEFT(A14,1))</f>
        <v>1</v>
      </c>
      <c r="D14" s="130">
        <f>VALUE(RIGHT(A14,1))</f>
        <v>4</v>
      </c>
      <c r="E14" s="36" t="s">
        <v>11</v>
      </c>
      <c r="F14" s="260">
        <f>IF(A14&lt;10,A14,SUM(C14:D14))</f>
        <v>5</v>
      </c>
      <c r="G14" s="260"/>
      <c r="H14" s="34"/>
      <c r="I14" s="34"/>
      <c r="J14" s="34"/>
      <c r="K14" s="34"/>
      <c r="L14" s="34"/>
      <c r="M14" s="34"/>
    </row>
    <row r="15" spans="1:13" x14ac:dyDescent="0.35">
      <c r="D15" s="38"/>
      <c r="E15" s="34"/>
      <c r="F15" s="34"/>
      <c r="G15" s="34"/>
      <c r="H15" s="34"/>
      <c r="I15" s="34"/>
      <c r="J15" s="34"/>
      <c r="K15" s="34"/>
      <c r="L15" s="34"/>
    </row>
    <row r="16" spans="1:13" x14ac:dyDescent="0.35">
      <c r="A16" s="128">
        <f>C9</f>
        <v>16</v>
      </c>
      <c r="B16" s="35" t="s">
        <v>11</v>
      </c>
      <c r="C16" s="129">
        <f>VALUE(LEFT(A16,1))</f>
        <v>1</v>
      </c>
      <c r="D16" s="130">
        <f>VALUE(RIGHT(A16,1))</f>
        <v>6</v>
      </c>
      <c r="E16" s="36" t="s">
        <v>11</v>
      </c>
      <c r="F16" s="260">
        <f>IF(A16&lt;10,A16,SUM(C16:D16))</f>
        <v>7</v>
      </c>
      <c r="G16" s="260"/>
      <c r="H16" s="34"/>
      <c r="I16" s="34"/>
      <c r="J16" s="34"/>
      <c r="K16" s="34"/>
      <c r="L16" s="34"/>
    </row>
    <row r="17" spans="1:13" x14ac:dyDescent="0.35">
      <c r="A17" s="39"/>
      <c r="B17" s="40"/>
      <c r="C17" s="41"/>
      <c r="D17" s="41"/>
      <c r="E17" s="40"/>
      <c r="F17" s="41"/>
      <c r="G17" s="34"/>
      <c r="H17" s="34"/>
      <c r="I17" s="34"/>
      <c r="J17" s="34"/>
      <c r="K17" s="34"/>
      <c r="L17" s="34"/>
    </row>
    <row r="18" spans="1:13" x14ac:dyDescent="0.35">
      <c r="A18" s="128" t="b">
        <f>IF(I9&gt;9,I9)</f>
        <v>0</v>
      </c>
      <c r="B18" s="36" t="s">
        <v>11</v>
      </c>
      <c r="C18" s="129" t="e">
        <f>VALUE(LEFT(A18,1))</f>
        <v>#VALUE!</v>
      </c>
      <c r="D18" s="130" t="e">
        <f>VALUE(RIGHT(A18,1))</f>
        <v>#VALUE!</v>
      </c>
      <c r="E18" s="36" t="s">
        <v>11</v>
      </c>
      <c r="F18" s="260" t="e">
        <f>IF(A18&lt;10,A18,SUM(C18:D18))</f>
        <v>#VALUE!</v>
      </c>
      <c r="G18" s="260"/>
      <c r="H18" s="34"/>
      <c r="I18" s="34"/>
      <c r="J18" s="34"/>
      <c r="K18" s="34"/>
      <c r="L18" s="34"/>
    </row>
    <row r="19" spans="1:13" x14ac:dyDescent="0.35">
      <c r="A19" s="39"/>
      <c r="B19" s="40"/>
      <c r="C19" s="41"/>
      <c r="D19" s="41"/>
      <c r="E19" s="40"/>
      <c r="F19" s="41"/>
      <c r="G19" s="34"/>
      <c r="H19" s="34"/>
      <c r="I19" s="34"/>
      <c r="J19" s="34"/>
      <c r="K19" s="34"/>
      <c r="L19" s="34"/>
    </row>
    <row r="20" spans="1:13" ht="15.5" x14ac:dyDescent="0.35">
      <c r="A20" s="261" t="s">
        <v>52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5"/>
    </row>
    <row r="21" spans="1:13" ht="15.5" x14ac:dyDescent="0.35">
      <c r="A21" s="42"/>
      <c r="B21" s="7"/>
      <c r="C21" s="24"/>
      <c r="D21" s="24"/>
      <c r="E21" s="7"/>
      <c r="F21" s="24"/>
      <c r="G21" s="24"/>
      <c r="H21" s="24"/>
      <c r="I21" s="24"/>
      <c r="J21" s="24"/>
      <c r="K21" s="24"/>
      <c r="L21" s="24"/>
      <c r="M21" s="25"/>
    </row>
    <row r="22" spans="1:13" ht="15.5" x14ac:dyDescent="0.35">
      <c r="A22" s="137">
        <f>F14</f>
        <v>5</v>
      </c>
      <c r="B22" s="138">
        <f>B9</f>
        <v>4</v>
      </c>
      <c r="C22" s="137">
        <f>F16</f>
        <v>7</v>
      </c>
      <c r="D22" s="137">
        <f>D9</f>
        <v>9</v>
      </c>
      <c r="E22" s="138">
        <f>E9</f>
        <v>2</v>
      </c>
      <c r="F22" s="137">
        <f>F9</f>
        <v>1</v>
      </c>
      <c r="G22" s="137">
        <f>G9</f>
        <v>0</v>
      </c>
      <c r="H22" s="137">
        <f>H9</f>
        <v>0</v>
      </c>
      <c r="I22" s="137">
        <f>IF(I9&gt;9,F18,I9)</f>
        <v>0</v>
      </c>
      <c r="J22" s="24"/>
      <c r="K22" s="136" t="s">
        <v>53</v>
      </c>
      <c r="L22" s="136">
        <f>SUM(A22:I22)</f>
        <v>28</v>
      </c>
      <c r="M22" s="25"/>
    </row>
    <row r="23" spans="1:13" x14ac:dyDescent="0.35">
      <c r="A23" s="34"/>
      <c r="B23" s="37"/>
      <c r="C23" s="38"/>
      <c r="D23" s="38"/>
      <c r="E23" s="37"/>
      <c r="F23" s="38"/>
      <c r="G23" s="34"/>
      <c r="H23" s="34"/>
      <c r="I23" s="34"/>
      <c r="J23" s="34"/>
      <c r="K23" s="34"/>
      <c r="L23" s="34"/>
    </row>
    <row r="24" spans="1:13" ht="18" x14ac:dyDescent="0.4">
      <c r="A24" s="262" t="s">
        <v>54</v>
      </c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131"/>
    </row>
    <row r="25" spans="1:13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3" ht="18" x14ac:dyDescent="0.4">
      <c r="A26" s="139" t="s">
        <v>55</v>
      </c>
      <c r="B26" s="140"/>
      <c r="C26" s="132"/>
      <c r="D26" s="132">
        <f>L24</f>
        <v>0</v>
      </c>
      <c r="E26" s="133" t="s">
        <v>16</v>
      </c>
      <c r="F26" s="133">
        <f>L22</f>
        <v>28</v>
      </c>
      <c r="G26" s="134" t="s">
        <v>11</v>
      </c>
      <c r="H26" s="141">
        <f>L24-F26</f>
        <v>-28</v>
      </c>
      <c r="I26" s="28"/>
      <c r="J26" s="28"/>
      <c r="K26" s="29"/>
      <c r="L26" s="23"/>
    </row>
    <row r="27" spans="1:13" x14ac:dyDescent="0.3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3" ht="18" x14ac:dyDescent="0.4">
      <c r="A28" s="34"/>
      <c r="B28" s="263" t="s">
        <v>66</v>
      </c>
      <c r="C28" s="263"/>
      <c r="D28" s="263"/>
      <c r="E28" s="263"/>
      <c r="F28" s="135">
        <f>H26</f>
        <v>-28</v>
      </c>
      <c r="G28" s="34"/>
      <c r="H28" s="34"/>
      <c r="I28" s="34"/>
      <c r="J28" s="34"/>
      <c r="K28" s="34"/>
      <c r="L28" s="34"/>
    </row>
  </sheetData>
  <mergeCells count="16">
    <mergeCell ref="F18:G18"/>
    <mergeCell ref="A20:L20"/>
    <mergeCell ref="A24:K24"/>
    <mergeCell ref="B28:E28"/>
    <mergeCell ref="J5:K5"/>
    <mergeCell ref="J7:K7"/>
    <mergeCell ref="J9:K9"/>
    <mergeCell ref="A12:J12"/>
    <mergeCell ref="F14:G14"/>
    <mergeCell ref="F16:G16"/>
    <mergeCell ref="A1:M1"/>
    <mergeCell ref="A3:C4"/>
    <mergeCell ref="D3:D4"/>
    <mergeCell ref="E3:E4"/>
    <mergeCell ref="F3:F4"/>
    <mergeCell ref="G3:I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8A77-2683-4263-839D-BE4E832B977D}">
  <sheetPr codeName="Planilha5"/>
  <dimension ref="A1:N32"/>
  <sheetViews>
    <sheetView workbookViewId="0">
      <selection activeCell="I5" sqref="I5"/>
    </sheetView>
  </sheetViews>
  <sheetFormatPr defaultRowHeight="14.5" x14ac:dyDescent="0.35"/>
  <cols>
    <col min="12" max="12" width="5.54296875" customWidth="1"/>
    <col min="13" max="13" width="12.54296875" customWidth="1"/>
  </cols>
  <sheetData>
    <row r="1" spans="1:14" ht="18" x14ac:dyDescent="0.4">
      <c r="A1" s="269" t="s">
        <v>67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34"/>
    </row>
    <row r="2" spans="1:14" ht="18" x14ac:dyDescent="0.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34"/>
    </row>
    <row r="3" spans="1:14" ht="18" x14ac:dyDescent="0.4">
      <c r="A3" s="44"/>
      <c r="B3" s="270" t="s">
        <v>68</v>
      </c>
      <c r="C3" s="270"/>
      <c r="D3" s="270"/>
      <c r="E3" s="270"/>
      <c r="F3" s="270"/>
      <c r="G3" s="270"/>
      <c r="H3" s="270" t="s">
        <v>69</v>
      </c>
      <c r="I3" s="270"/>
      <c r="J3" s="270"/>
      <c r="K3" s="270"/>
      <c r="L3" s="23"/>
      <c r="M3" s="23"/>
      <c r="N3" s="34"/>
    </row>
    <row r="4" spans="1:14" x14ac:dyDescent="0.35">
      <c r="A4" s="34"/>
      <c r="B4" s="270"/>
      <c r="C4" s="270"/>
      <c r="D4" s="270"/>
      <c r="E4" s="270"/>
      <c r="F4" s="271"/>
      <c r="G4" s="271"/>
      <c r="H4" s="270"/>
      <c r="I4" s="270"/>
      <c r="J4" s="270"/>
      <c r="K4" s="271"/>
      <c r="L4" s="34"/>
      <c r="M4" s="34"/>
      <c r="N4" s="34"/>
    </row>
    <row r="5" spans="1:14" x14ac:dyDescent="0.35">
      <c r="A5" s="29"/>
      <c r="B5" s="143"/>
      <c r="C5" s="143"/>
      <c r="D5" s="143"/>
      <c r="E5" s="143"/>
      <c r="F5" s="126"/>
      <c r="G5" s="126"/>
      <c r="H5" s="144"/>
      <c r="I5" s="143"/>
      <c r="J5" s="143"/>
      <c r="K5" s="142"/>
      <c r="L5" s="272" t="s">
        <v>70</v>
      </c>
      <c r="M5" s="272"/>
      <c r="N5" s="29"/>
    </row>
    <row r="6" spans="1:14" x14ac:dyDescent="0.35">
      <c r="A6" s="34"/>
      <c r="B6" s="123" t="s">
        <v>9</v>
      </c>
      <c r="C6" s="123" t="s">
        <v>9</v>
      </c>
      <c r="D6" s="123" t="s">
        <v>9</v>
      </c>
      <c r="E6" s="123" t="s">
        <v>9</v>
      </c>
      <c r="F6" s="123" t="s">
        <v>9</v>
      </c>
      <c r="G6" s="123" t="s">
        <v>9</v>
      </c>
      <c r="H6" s="123" t="s">
        <v>9</v>
      </c>
      <c r="I6" s="123" t="s">
        <v>9</v>
      </c>
      <c r="J6" s="123" t="s">
        <v>9</v>
      </c>
      <c r="K6" s="123" t="s">
        <v>9</v>
      </c>
      <c r="L6" s="34"/>
      <c r="M6" s="34"/>
      <c r="N6" s="34"/>
    </row>
    <row r="7" spans="1:14" x14ac:dyDescent="0.35">
      <c r="A7" s="34"/>
      <c r="B7" s="125">
        <v>1</v>
      </c>
      <c r="C7" s="125">
        <v>2</v>
      </c>
      <c r="D7" s="125">
        <v>1</v>
      </c>
      <c r="E7" s="125">
        <v>2</v>
      </c>
      <c r="F7" s="125">
        <v>1</v>
      </c>
      <c r="G7" s="125">
        <v>2</v>
      </c>
      <c r="H7" s="125">
        <v>1</v>
      </c>
      <c r="I7" s="125">
        <v>2</v>
      </c>
      <c r="J7" s="125">
        <v>1</v>
      </c>
      <c r="K7" s="125">
        <v>2</v>
      </c>
      <c r="L7" s="273" t="s">
        <v>44</v>
      </c>
      <c r="M7" s="273"/>
      <c r="N7" s="34"/>
    </row>
    <row r="8" spans="1:14" x14ac:dyDescent="0.35">
      <c r="A8" s="34"/>
      <c r="B8" s="145" t="s">
        <v>11</v>
      </c>
      <c r="C8" s="145" t="s">
        <v>11</v>
      </c>
      <c r="D8" s="145" t="s">
        <v>11</v>
      </c>
      <c r="E8" s="145" t="s">
        <v>11</v>
      </c>
      <c r="F8" s="145" t="s">
        <v>11</v>
      </c>
      <c r="G8" s="145" t="s">
        <v>11</v>
      </c>
      <c r="H8" s="145" t="s">
        <v>11</v>
      </c>
      <c r="I8" s="145" t="s">
        <v>11</v>
      </c>
      <c r="J8" s="145" t="s">
        <v>11</v>
      </c>
      <c r="K8" s="145" t="s">
        <v>11</v>
      </c>
      <c r="L8" s="37"/>
      <c r="M8" s="34"/>
      <c r="N8" s="34"/>
    </row>
    <row r="9" spans="1:14" x14ac:dyDescent="0.35">
      <c r="A9" s="34"/>
      <c r="B9" s="127">
        <f t="shared" ref="B9:K9" si="0">B7*B5</f>
        <v>0</v>
      </c>
      <c r="C9" s="127">
        <f t="shared" si="0"/>
        <v>0</v>
      </c>
      <c r="D9" s="127">
        <f t="shared" si="0"/>
        <v>0</v>
      </c>
      <c r="E9" s="127">
        <f t="shared" si="0"/>
        <v>0</v>
      </c>
      <c r="F9" s="127">
        <f t="shared" si="0"/>
        <v>0</v>
      </c>
      <c r="G9" s="127">
        <f t="shared" si="0"/>
        <v>0</v>
      </c>
      <c r="H9" s="127">
        <f t="shared" si="0"/>
        <v>0</v>
      </c>
      <c r="I9" s="127">
        <f t="shared" si="0"/>
        <v>0</v>
      </c>
      <c r="J9" s="127">
        <f t="shared" si="0"/>
        <v>0</v>
      </c>
      <c r="K9" s="127">
        <f t="shared" si="0"/>
        <v>0</v>
      </c>
      <c r="L9" s="268" t="s">
        <v>45</v>
      </c>
      <c r="M9" s="268"/>
      <c r="N9" s="34"/>
    </row>
    <row r="10" spans="1:14" x14ac:dyDescent="0.3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29"/>
      <c r="M10" s="34"/>
      <c r="N10" s="34"/>
    </row>
    <row r="11" spans="1:14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29"/>
      <c r="M11" s="34"/>
      <c r="N11" s="34"/>
    </row>
    <row r="12" spans="1:14" x14ac:dyDescent="0.35">
      <c r="A12" s="34"/>
      <c r="B12" s="267" t="s">
        <v>46</v>
      </c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34"/>
      <c r="N12" s="34"/>
    </row>
    <row r="13" spans="1:14" x14ac:dyDescent="0.3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29"/>
      <c r="M13" s="34"/>
      <c r="N13" s="34"/>
    </row>
    <row r="14" spans="1:14" x14ac:dyDescent="0.35">
      <c r="A14" s="34" t="s">
        <v>47</v>
      </c>
      <c r="B14" s="128" t="b">
        <f>IF(C9&gt;9,C9)</f>
        <v>0</v>
      </c>
      <c r="C14" s="36" t="s">
        <v>11</v>
      </c>
      <c r="D14" s="129" t="e">
        <f>VALUE(LEFT(B14,1))</f>
        <v>#VALUE!</v>
      </c>
      <c r="E14" s="130" t="e">
        <f>VALUE(RIGHT(B14,1))</f>
        <v>#VALUE!</v>
      </c>
      <c r="F14" s="36" t="s">
        <v>11</v>
      </c>
      <c r="G14" s="260" t="e">
        <f>IF(B14&lt;10,B14,SUM(D14:E14))</f>
        <v>#VALUE!</v>
      </c>
      <c r="H14" s="260"/>
      <c r="I14" s="34"/>
      <c r="J14" s="34"/>
      <c r="K14" s="34"/>
      <c r="L14" s="34"/>
      <c r="M14" s="34"/>
      <c r="N14" s="34"/>
    </row>
    <row r="15" spans="1:14" x14ac:dyDescent="0.35">
      <c r="A15" s="34"/>
      <c r="E15" s="38"/>
      <c r="F15" s="34"/>
      <c r="G15" s="34"/>
      <c r="H15" s="34"/>
      <c r="I15" s="34"/>
      <c r="J15" s="34"/>
      <c r="K15" s="34"/>
      <c r="L15" s="34"/>
      <c r="M15" s="34"/>
      <c r="N15" s="34"/>
    </row>
    <row r="16" spans="1:14" x14ac:dyDescent="0.35">
      <c r="A16" s="34" t="s">
        <v>48</v>
      </c>
      <c r="B16" s="128" t="b">
        <f>IF(E9&gt;9,E9)</f>
        <v>0</v>
      </c>
      <c r="C16" s="35" t="s">
        <v>11</v>
      </c>
      <c r="D16" s="129" t="e">
        <f>VALUE(LEFT(B16,1))</f>
        <v>#VALUE!</v>
      </c>
      <c r="E16" s="130" t="e">
        <f>VALUE(RIGHT(B16,1))</f>
        <v>#VALUE!</v>
      </c>
      <c r="F16" s="36" t="s">
        <v>11</v>
      </c>
      <c r="G16" s="260" t="e">
        <f>IF(B16&lt;10,B16,SUM(D16:E16))</f>
        <v>#VALUE!</v>
      </c>
      <c r="H16" s="260"/>
      <c r="I16" s="34"/>
      <c r="J16" s="34"/>
      <c r="K16" s="34"/>
      <c r="L16" s="34"/>
      <c r="M16" s="34"/>
      <c r="N16" s="34"/>
    </row>
    <row r="17" spans="1:14" x14ac:dyDescent="0.35">
      <c r="A17" s="34"/>
      <c r="B17" s="39"/>
      <c r="C17" s="40"/>
      <c r="D17" s="41"/>
      <c r="E17" s="41"/>
      <c r="F17" s="40"/>
      <c r="G17" s="41"/>
      <c r="H17" s="34"/>
      <c r="I17" s="34"/>
      <c r="J17" s="34"/>
      <c r="K17" s="34"/>
      <c r="L17" s="34"/>
      <c r="M17" s="34"/>
      <c r="N17" s="34"/>
    </row>
    <row r="18" spans="1:14" x14ac:dyDescent="0.35">
      <c r="A18" s="34" t="s">
        <v>49</v>
      </c>
      <c r="B18" s="128" t="b">
        <f>IF(G9&gt;9,G9)</f>
        <v>0</v>
      </c>
      <c r="C18" s="36" t="s">
        <v>11</v>
      </c>
      <c r="D18" s="129" t="e">
        <f>VALUE(LEFT(B18,1))</f>
        <v>#VALUE!</v>
      </c>
      <c r="E18" s="130" t="e">
        <f>VALUE(RIGHT(B18,1))</f>
        <v>#VALUE!</v>
      </c>
      <c r="F18" s="36" t="s">
        <v>11</v>
      </c>
      <c r="G18" s="260" t="e">
        <f>IF(B18&lt;10,B18,SUM(D18:E18))</f>
        <v>#VALUE!</v>
      </c>
      <c r="H18" s="260"/>
      <c r="I18" s="34"/>
      <c r="J18" s="34"/>
      <c r="K18" s="34"/>
      <c r="L18" s="34"/>
      <c r="M18" s="34"/>
      <c r="N18" s="34"/>
    </row>
    <row r="19" spans="1:14" x14ac:dyDescent="0.35">
      <c r="A19" s="34"/>
      <c r="B19" s="34"/>
      <c r="C19" s="37"/>
      <c r="D19" s="38"/>
      <c r="E19" s="38"/>
      <c r="F19" s="37"/>
      <c r="G19" s="38"/>
      <c r="H19" s="34"/>
      <c r="I19" s="34"/>
      <c r="J19" s="34"/>
      <c r="K19" s="34"/>
      <c r="L19" s="34"/>
      <c r="M19" s="34"/>
      <c r="N19" s="34"/>
    </row>
    <row r="20" spans="1:14" x14ac:dyDescent="0.35">
      <c r="A20" s="34" t="s">
        <v>50</v>
      </c>
      <c r="B20" s="128" t="b">
        <f>IF(I9&gt;9,I9)</f>
        <v>0</v>
      </c>
      <c r="C20" s="36" t="s">
        <v>11</v>
      </c>
      <c r="D20" s="129" t="e">
        <f>VALUE(LEFT(B20,1))</f>
        <v>#VALUE!</v>
      </c>
      <c r="E20" s="130" t="e">
        <f>VALUE(RIGHT(B20,1))</f>
        <v>#VALUE!</v>
      </c>
      <c r="F20" s="36" t="s">
        <v>11</v>
      </c>
      <c r="G20" s="260" t="e">
        <f>IF(B20&lt;10,B20,SUM(D20:E20))</f>
        <v>#VALUE!</v>
      </c>
      <c r="H20" s="260"/>
      <c r="I20" s="34"/>
      <c r="J20" s="34"/>
      <c r="K20" s="34"/>
      <c r="L20" s="34"/>
      <c r="M20" s="34"/>
      <c r="N20" s="34"/>
    </row>
    <row r="21" spans="1:14" x14ac:dyDescent="0.35">
      <c r="A21" s="34"/>
      <c r="B21" s="34"/>
      <c r="C21" s="37"/>
      <c r="D21" s="38"/>
      <c r="E21" s="38"/>
      <c r="F21" s="37"/>
      <c r="G21" s="38"/>
      <c r="H21" s="34"/>
      <c r="I21" s="34"/>
      <c r="J21" s="34"/>
      <c r="K21" s="34"/>
      <c r="L21" s="34"/>
      <c r="M21" s="34"/>
      <c r="N21" s="34"/>
    </row>
    <row r="22" spans="1:14" x14ac:dyDescent="0.35">
      <c r="A22" s="34" t="s">
        <v>51</v>
      </c>
      <c r="B22" s="128" t="b">
        <f>IF(K9&gt;9,K9)</f>
        <v>0</v>
      </c>
      <c r="C22" s="36" t="s">
        <v>11</v>
      </c>
      <c r="D22" s="129" t="e">
        <f>VALUE(LEFT(B22,1))</f>
        <v>#VALUE!</v>
      </c>
      <c r="E22" s="130" t="e">
        <f>VALUE(RIGHT(B22,1))</f>
        <v>#VALUE!</v>
      </c>
      <c r="F22" s="36" t="s">
        <v>11</v>
      </c>
      <c r="G22" s="260" t="e">
        <f>IF(B22&lt;10,B22,SUM(D22:E22))</f>
        <v>#VALUE!</v>
      </c>
      <c r="H22" s="260"/>
      <c r="I22" s="34"/>
      <c r="J22" s="34"/>
      <c r="K22" s="34"/>
      <c r="L22" s="34"/>
      <c r="M22" s="34"/>
      <c r="N22" s="34"/>
    </row>
    <row r="23" spans="1:14" x14ac:dyDescent="0.35">
      <c r="A23" s="34"/>
      <c r="B23" s="34"/>
      <c r="C23" s="37"/>
      <c r="D23" s="38"/>
      <c r="E23" s="38"/>
      <c r="F23" s="37"/>
      <c r="G23" s="38"/>
      <c r="H23" s="34"/>
      <c r="I23" s="34"/>
      <c r="J23" s="34"/>
      <c r="K23" s="34"/>
      <c r="L23" s="34"/>
      <c r="M23" s="34"/>
      <c r="N23" s="34"/>
    </row>
    <row r="24" spans="1:14" ht="18" x14ac:dyDescent="0.4">
      <c r="A24" s="23"/>
      <c r="B24" s="42" t="s">
        <v>52</v>
      </c>
      <c r="C24" s="7"/>
      <c r="D24" s="24"/>
      <c r="E24" s="24"/>
      <c r="F24" s="7"/>
      <c r="G24" s="24"/>
      <c r="H24" s="24"/>
      <c r="I24" s="24"/>
      <c r="J24" s="24"/>
      <c r="K24" s="24"/>
      <c r="L24" s="24"/>
      <c r="M24" s="24"/>
      <c r="N24" s="24"/>
    </row>
    <row r="25" spans="1:14" ht="18" x14ac:dyDescent="0.4">
      <c r="A25" s="23"/>
      <c r="B25" s="42"/>
      <c r="C25" s="7"/>
      <c r="D25" s="24"/>
      <c r="E25" s="24"/>
      <c r="F25" s="7"/>
      <c r="G25" s="24"/>
      <c r="H25" s="24"/>
      <c r="I25" s="24"/>
      <c r="J25" s="24"/>
      <c r="K25" s="24"/>
      <c r="L25" s="24"/>
      <c r="M25" s="24"/>
      <c r="N25" s="24"/>
    </row>
    <row r="26" spans="1:14" ht="15.5" x14ac:dyDescent="0.35">
      <c r="A26" s="24"/>
      <c r="B26" s="137">
        <f>B9</f>
        <v>0</v>
      </c>
      <c r="C26" s="138">
        <f>IF(C9&gt;9,G14,C9)</f>
        <v>0</v>
      </c>
      <c r="D26" s="137">
        <f>D9</f>
        <v>0</v>
      </c>
      <c r="E26" s="138">
        <f>IF(E9&gt;9,G16,E9)</f>
        <v>0</v>
      </c>
      <c r="F26" s="138">
        <f>F9</f>
        <v>0</v>
      </c>
      <c r="G26" s="137">
        <f>IF(G9&gt;9,G18,G9)</f>
        <v>0</v>
      </c>
      <c r="H26" s="137">
        <f>H9</f>
        <v>0</v>
      </c>
      <c r="I26" s="137">
        <f>IF(I9&gt;9,G20,I9)</f>
        <v>0</v>
      </c>
      <c r="J26" s="137">
        <f>J9</f>
        <v>0</v>
      </c>
      <c r="K26" s="137">
        <f>IF(K9&gt;9,G22,K9)</f>
        <v>0</v>
      </c>
      <c r="L26" s="24"/>
      <c r="M26" s="136" t="s">
        <v>53</v>
      </c>
      <c r="N26" s="136">
        <f>SUM(B26:K26)</f>
        <v>0</v>
      </c>
    </row>
    <row r="27" spans="1:14" x14ac:dyDescent="0.35">
      <c r="A27" s="34"/>
      <c r="B27" s="34"/>
      <c r="C27" s="37"/>
      <c r="D27" s="38"/>
      <c r="E27" s="38"/>
      <c r="F27" s="37"/>
      <c r="G27" s="38"/>
      <c r="H27" s="34"/>
      <c r="I27" s="34"/>
      <c r="J27" s="34"/>
      <c r="K27" s="34"/>
      <c r="L27" s="34"/>
      <c r="M27" s="34"/>
      <c r="N27" s="34"/>
    </row>
    <row r="28" spans="1:14" ht="18" x14ac:dyDescent="0.4">
      <c r="A28" s="34"/>
      <c r="B28" s="274" t="s">
        <v>54</v>
      </c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131"/>
    </row>
    <row r="29" spans="1:14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 ht="18" x14ac:dyDescent="0.4">
      <c r="A30" s="34"/>
      <c r="B30" s="146" t="s">
        <v>55</v>
      </c>
      <c r="C30" s="147"/>
      <c r="D30" s="147"/>
      <c r="E30" s="147">
        <f>N28</f>
        <v>0</v>
      </c>
      <c r="F30" s="148" t="s">
        <v>16</v>
      </c>
      <c r="G30" s="148">
        <f>N26</f>
        <v>0</v>
      </c>
      <c r="H30" s="149" t="s">
        <v>11</v>
      </c>
      <c r="I30" s="150">
        <f>N28-G30</f>
        <v>0</v>
      </c>
      <c r="J30" s="28"/>
      <c r="K30" s="28"/>
      <c r="L30" s="28"/>
      <c r="M30" s="29"/>
      <c r="N30" s="23"/>
    </row>
    <row r="31" spans="1:14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 ht="18" x14ac:dyDescent="0.4">
      <c r="A32" s="34"/>
      <c r="B32" s="34"/>
      <c r="C32" s="275" t="s">
        <v>71</v>
      </c>
      <c r="D32" s="275"/>
      <c r="E32" s="275"/>
      <c r="F32" s="275"/>
      <c r="G32" s="151">
        <f>I30</f>
        <v>0</v>
      </c>
      <c r="H32" s="34"/>
      <c r="I32" s="34"/>
      <c r="J32" s="34"/>
      <c r="K32" s="34"/>
      <c r="L32" s="34"/>
      <c r="M32" s="34"/>
      <c r="N32" s="34"/>
    </row>
  </sheetData>
  <mergeCells count="14">
    <mergeCell ref="B28:M28"/>
    <mergeCell ref="C32:F32"/>
    <mergeCell ref="B12:L12"/>
    <mergeCell ref="G14:H14"/>
    <mergeCell ref="G16:H16"/>
    <mergeCell ref="G18:H18"/>
    <mergeCell ref="G20:H20"/>
    <mergeCell ref="G22:H22"/>
    <mergeCell ref="L9:M9"/>
    <mergeCell ref="A1:M1"/>
    <mergeCell ref="B3:G4"/>
    <mergeCell ref="H3:K4"/>
    <mergeCell ref="L5:M5"/>
    <mergeCell ref="L7:M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1FEE-D25E-4B2F-8294-6E74224C47E5}">
  <sheetPr codeName="Planilha6"/>
  <dimension ref="A1:P32"/>
  <sheetViews>
    <sheetView zoomScale="80" zoomScaleNormal="80" workbookViewId="0">
      <selection activeCell="K5" sqref="K5"/>
    </sheetView>
  </sheetViews>
  <sheetFormatPr defaultColWidth="11.7265625" defaultRowHeight="14.5" x14ac:dyDescent="0.35"/>
  <cols>
    <col min="1" max="1" width="5.81640625" style="34" customWidth="1"/>
    <col min="2" max="11" width="8.7265625" customWidth="1"/>
    <col min="12" max="12" width="4.453125" customWidth="1"/>
    <col min="13" max="13" width="14.1796875" customWidth="1"/>
    <col min="14" max="14" width="6.26953125" customWidth="1"/>
    <col min="15" max="15" width="3.1796875" customWidth="1"/>
    <col min="16" max="16" width="4.7265625" customWidth="1"/>
    <col min="17" max="17" width="2.81640625" customWidth="1"/>
    <col min="18" max="18" width="7.81640625" customWidth="1"/>
    <col min="257" max="258" width="5.81640625" customWidth="1"/>
    <col min="259" max="259" width="7.453125" customWidth="1"/>
    <col min="260" max="261" width="5.26953125" customWidth="1"/>
    <col min="262" max="262" width="5.81640625" customWidth="1"/>
    <col min="263" max="264" width="5" customWidth="1"/>
    <col min="265" max="265" width="9.81640625" customWidth="1"/>
    <col min="266" max="266" width="6" customWidth="1"/>
    <col min="267" max="267" width="9.54296875" customWidth="1"/>
    <col min="269" max="269" width="19" customWidth="1"/>
    <col min="270" max="270" width="4.7265625" customWidth="1"/>
    <col min="271" max="271" width="3.1796875" customWidth="1"/>
    <col min="272" max="272" width="4.7265625" customWidth="1"/>
    <col min="273" max="273" width="2.81640625" customWidth="1"/>
    <col min="274" max="274" width="7.81640625" customWidth="1"/>
    <col min="513" max="514" width="5.81640625" customWidth="1"/>
    <col min="515" max="515" width="7.453125" customWidth="1"/>
    <col min="516" max="517" width="5.26953125" customWidth="1"/>
    <col min="518" max="518" width="5.81640625" customWidth="1"/>
    <col min="519" max="520" width="5" customWidth="1"/>
    <col min="521" max="521" width="9.81640625" customWidth="1"/>
    <col min="522" max="522" width="6" customWidth="1"/>
    <col min="523" max="523" width="9.54296875" customWidth="1"/>
    <col min="525" max="525" width="19" customWidth="1"/>
    <col min="526" max="526" width="4.7265625" customWidth="1"/>
    <col min="527" max="527" width="3.1796875" customWidth="1"/>
    <col min="528" max="528" width="4.7265625" customWidth="1"/>
    <col min="529" max="529" width="2.81640625" customWidth="1"/>
    <col min="530" max="530" width="7.81640625" customWidth="1"/>
    <col min="769" max="770" width="5.81640625" customWidth="1"/>
    <col min="771" max="771" width="7.453125" customWidth="1"/>
    <col min="772" max="773" width="5.26953125" customWidth="1"/>
    <col min="774" max="774" width="5.81640625" customWidth="1"/>
    <col min="775" max="776" width="5" customWidth="1"/>
    <col min="777" max="777" width="9.81640625" customWidth="1"/>
    <col min="778" max="778" width="6" customWidth="1"/>
    <col min="779" max="779" width="9.54296875" customWidth="1"/>
    <col min="781" max="781" width="19" customWidth="1"/>
    <col min="782" max="782" width="4.7265625" customWidth="1"/>
    <col min="783" max="783" width="3.1796875" customWidth="1"/>
    <col min="784" max="784" width="4.7265625" customWidth="1"/>
    <col min="785" max="785" width="2.81640625" customWidth="1"/>
    <col min="786" max="786" width="7.81640625" customWidth="1"/>
    <col min="1025" max="1026" width="5.81640625" customWidth="1"/>
    <col min="1027" max="1027" width="7.453125" customWidth="1"/>
    <col min="1028" max="1029" width="5.26953125" customWidth="1"/>
    <col min="1030" max="1030" width="5.81640625" customWidth="1"/>
    <col min="1031" max="1032" width="5" customWidth="1"/>
    <col min="1033" max="1033" width="9.81640625" customWidth="1"/>
    <col min="1034" max="1034" width="6" customWidth="1"/>
    <col min="1035" max="1035" width="9.54296875" customWidth="1"/>
    <col min="1037" max="1037" width="19" customWidth="1"/>
    <col min="1038" max="1038" width="4.7265625" customWidth="1"/>
    <col min="1039" max="1039" width="3.1796875" customWidth="1"/>
    <col min="1040" max="1040" width="4.7265625" customWidth="1"/>
    <col min="1041" max="1041" width="2.81640625" customWidth="1"/>
    <col min="1042" max="1042" width="7.81640625" customWidth="1"/>
    <col min="1281" max="1282" width="5.81640625" customWidth="1"/>
    <col min="1283" max="1283" width="7.453125" customWidth="1"/>
    <col min="1284" max="1285" width="5.26953125" customWidth="1"/>
    <col min="1286" max="1286" width="5.81640625" customWidth="1"/>
    <col min="1287" max="1288" width="5" customWidth="1"/>
    <col min="1289" max="1289" width="9.81640625" customWidth="1"/>
    <col min="1290" max="1290" width="6" customWidth="1"/>
    <col min="1291" max="1291" width="9.54296875" customWidth="1"/>
    <col min="1293" max="1293" width="19" customWidth="1"/>
    <col min="1294" max="1294" width="4.7265625" customWidth="1"/>
    <col min="1295" max="1295" width="3.1796875" customWidth="1"/>
    <col min="1296" max="1296" width="4.7265625" customWidth="1"/>
    <col min="1297" max="1297" width="2.81640625" customWidth="1"/>
    <col min="1298" max="1298" width="7.81640625" customWidth="1"/>
    <col min="1537" max="1538" width="5.81640625" customWidth="1"/>
    <col min="1539" max="1539" width="7.453125" customWidth="1"/>
    <col min="1540" max="1541" width="5.26953125" customWidth="1"/>
    <col min="1542" max="1542" width="5.81640625" customWidth="1"/>
    <col min="1543" max="1544" width="5" customWidth="1"/>
    <col min="1545" max="1545" width="9.81640625" customWidth="1"/>
    <col min="1546" max="1546" width="6" customWidth="1"/>
    <col min="1547" max="1547" width="9.54296875" customWidth="1"/>
    <col min="1549" max="1549" width="19" customWidth="1"/>
    <col min="1550" max="1550" width="4.7265625" customWidth="1"/>
    <col min="1551" max="1551" width="3.1796875" customWidth="1"/>
    <col min="1552" max="1552" width="4.7265625" customWidth="1"/>
    <col min="1553" max="1553" width="2.81640625" customWidth="1"/>
    <col min="1554" max="1554" width="7.81640625" customWidth="1"/>
    <col min="1793" max="1794" width="5.81640625" customWidth="1"/>
    <col min="1795" max="1795" width="7.453125" customWidth="1"/>
    <col min="1796" max="1797" width="5.26953125" customWidth="1"/>
    <col min="1798" max="1798" width="5.81640625" customWidth="1"/>
    <col min="1799" max="1800" width="5" customWidth="1"/>
    <col min="1801" max="1801" width="9.81640625" customWidth="1"/>
    <col min="1802" max="1802" width="6" customWidth="1"/>
    <col min="1803" max="1803" width="9.54296875" customWidth="1"/>
    <col min="1805" max="1805" width="19" customWidth="1"/>
    <col min="1806" max="1806" width="4.7265625" customWidth="1"/>
    <col min="1807" max="1807" width="3.1796875" customWidth="1"/>
    <col min="1808" max="1808" width="4.7265625" customWidth="1"/>
    <col min="1809" max="1809" width="2.81640625" customWidth="1"/>
    <col min="1810" max="1810" width="7.81640625" customWidth="1"/>
    <col min="2049" max="2050" width="5.81640625" customWidth="1"/>
    <col min="2051" max="2051" width="7.453125" customWidth="1"/>
    <col min="2052" max="2053" width="5.26953125" customWidth="1"/>
    <col min="2054" max="2054" width="5.81640625" customWidth="1"/>
    <col min="2055" max="2056" width="5" customWidth="1"/>
    <col min="2057" max="2057" width="9.81640625" customWidth="1"/>
    <col min="2058" max="2058" width="6" customWidth="1"/>
    <col min="2059" max="2059" width="9.54296875" customWidth="1"/>
    <col min="2061" max="2061" width="19" customWidth="1"/>
    <col min="2062" max="2062" width="4.7265625" customWidth="1"/>
    <col min="2063" max="2063" width="3.1796875" customWidth="1"/>
    <col min="2064" max="2064" width="4.7265625" customWidth="1"/>
    <col min="2065" max="2065" width="2.81640625" customWidth="1"/>
    <col min="2066" max="2066" width="7.81640625" customWidth="1"/>
    <col min="2305" max="2306" width="5.81640625" customWidth="1"/>
    <col min="2307" max="2307" width="7.453125" customWidth="1"/>
    <col min="2308" max="2309" width="5.26953125" customWidth="1"/>
    <col min="2310" max="2310" width="5.81640625" customWidth="1"/>
    <col min="2311" max="2312" width="5" customWidth="1"/>
    <col min="2313" max="2313" width="9.81640625" customWidth="1"/>
    <col min="2314" max="2314" width="6" customWidth="1"/>
    <col min="2315" max="2315" width="9.54296875" customWidth="1"/>
    <col min="2317" max="2317" width="19" customWidth="1"/>
    <col min="2318" max="2318" width="4.7265625" customWidth="1"/>
    <col min="2319" max="2319" width="3.1796875" customWidth="1"/>
    <col min="2320" max="2320" width="4.7265625" customWidth="1"/>
    <col min="2321" max="2321" width="2.81640625" customWidth="1"/>
    <col min="2322" max="2322" width="7.81640625" customWidth="1"/>
    <col min="2561" max="2562" width="5.81640625" customWidth="1"/>
    <col min="2563" max="2563" width="7.453125" customWidth="1"/>
    <col min="2564" max="2565" width="5.26953125" customWidth="1"/>
    <col min="2566" max="2566" width="5.81640625" customWidth="1"/>
    <col min="2567" max="2568" width="5" customWidth="1"/>
    <col min="2569" max="2569" width="9.81640625" customWidth="1"/>
    <col min="2570" max="2570" width="6" customWidth="1"/>
    <col min="2571" max="2571" width="9.54296875" customWidth="1"/>
    <col min="2573" max="2573" width="19" customWidth="1"/>
    <col min="2574" max="2574" width="4.7265625" customWidth="1"/>
    <col min="2575" max="2575" width="3.1796875" customWidth="1"/>
    <col min="2576" max="2576" width="4.7265625" customWidth="1"/>
    <col min="2577" max="2577" width="2.81640625" customWidth="1"/>
    <col min="2578" max="2578" width="7.81640625" customWidth="1"/>
    <col min="2817" max="2818" width="5.81640625" customWidth="1"/>
    <col min="2819" max="2819" width="7.453125" customWidth="1"/>
    <col min="2820" max="2821" width="5.26953125" customWidth="1"/>
    <col min="2822" max="2822" width="5.81640625" customWidth="1"/>
    <col min="2823" max="2824" width="5" customWidth="1"/>
    <col min="2825" max="2825" width="9.81640625" customWidth="1"/>
    <col min="2826" max="2826" width="6" customWidth="1"/>
    <col min="2827" max="2827" width="9.54296875" customWidth="1"/>
    <col min="2829" max="2829" width="19" customWidth="1"/>
    <col min="2830" max="2830" width="4.7265625" customWidth="1"/>
    <col min="2831" max="2831" width="3.1796875" customWidth="1"/>
    <col min="2832" max="2832" width="4.7265625" customWidth="1"/>
    <col min="2833" max="2833" width="2.81640625" customWidth="1"/>
    <col min="2834" max="2834" width="7.81640625" customWidth="1"/>
    <col min="3073" max="3074" width="5.81640625" customWidth="1"/>
    <col min="3075" max="3075" width="7.453125" customWidth="1"/>
    <col min="3076" max="3077" width="5.26953125" customWidth="1"/>
    <col min="3078" max="3078" width="5.81640625" customWidth="1"/>
    <col min="3079" max="3080" width="5" customWidth="1"/>
    <col min="3081" max="3081" width="9.81640625" customWidth="1"/>
    <col min="3082" max="3082" width="6" customWidth="1"/>
    <col min="3083" max="3083" width="9.54296875" customWidth="1"/>
    <col min="3085" max="3085" width="19" customWidth="1"/>
    <col min="3086" max="3086" width="4.7265625" customWidth="1"/>
    <col min="3087" max="3087" width="3.1796875" customWidth="1"/>
    <col min="3088" max="3088" width="4.7265625" customWidth="1"/>
    <col min="3089" max="3089" width="2.81640625" customWidth="1"/>
    <col min="3090" max="3090" width="7.81640625" customWidth="1"/>
    <col min="3329" max="3330" width="5.81640625" customWidth="1"/>
    <col min="3331" max="3331" width="7.453125" customWidth="1"/>
    <col min="3332" max="3333" width="5.26953125" customWidth="1"/>
    <col min="3334" max="3334" width="5.81640625" customWidth="1"/>
    <col min="3335" max="3336" width="5" customWidth="1"/>
    <col min="3337" max="3337" width="9.81640625" customWidth="1"/>
    <col min="3338" max="3338" width="6" customWidth="1"/>
    <col min="3339" max="3339" width="9.54296875" customWidth="1"/>
    <col min="3341" max="3341" width="19" customWidth="1"/>
    <col min="3342" max="3342" width="4.7265625" customWidth="1"/>
    <col min="3343" max="3343" width="3.1796875" customWidth="1"/>
    <col min="3344" max="3344" width="4.7265625" customWidth="1"/>
    <col min="3345" max="3345" width="2.81640625" customWidth="1"/>
    <col min="3346" max="3346" width="7.81640625" customWidth="1"/>
    <col min="3585" max="3586" width="5.81640625" customWidth="1"/>
    <col min="3587" max="3587" width="7.453125" customWidth="1"/>
    <col min="3588" max="3589" width="5.26953125" customWidth="1"/>
    <col min="3590" max="3590" width="5.81640625" customWidth="1"/>
    <col min="3591" max="3592" width="5" customWidth="1"/>
    <col min="3593" max="3593" width="9.81640625" customWidth="1"/>
    <col min="3594" max="3594" width="6" customWidth="1"/>
    <col min="3595" max="3595" width="9.54296875" customWidth="1"/>
    <col min="3597" max="3597" width="19" customWidth="1"/>
    <col min="3598" max="3598" width="4.7265625" customWidth="1"/>
    <col min="3599" max="3599" width="3.1796875" customWidth="1"/>
    <col min="3600" max="3600" width="4.7265625" customWidth="1"/>
    <col min="3601" max="3601" width="2.81640625" customWidth="1"/>
    <col min="3602" max="3602" width="7.81640625" customWidth="1"/>
    <col min="3841" max="3842" width="5.81640625" customWidth="1"/>
    <col min="3843" max="3843" width="7.453125" customWidth="1"/>
    <col min="3844" max="3845" width="5.26953125" customWidth="1"/>
    <col min="3846" max="3846" width="5.81640625" customWidth="1"/>
    <col min="3847" max="3848" width="5" customWidth="1"/>
    <col min="3849" max="3849" width="9.81640625" customWidth="1"/>
    <col min="3850" max="3850" width="6" customWidth="1"/>
    <col min="3851" max="3851" width="9.54296875" customWidth="1"/>
    <col min="3853" max="3853" width="19" customWidth="1"/>
    <col min="3854" max="3854" width="4.7265625" customWidth="1"/>
    <col min="3855" max="3855" width="3.1796875" customWidth="1"/>
    <col min="3856" max="3856" width="4.7265625" customWidth="1"/>
    <col min="3857" max="3857" width="2.81640625" customWidth="1"/>
    <col min="3858" max="3858" width="7.81640625" customWidth="1"/>
    <col min="4097" max="4098" width="5.81640625" customWidth="1"/>
    <col min="4099" max="4099" width="7.453125" customWidth="1"/>
    <col min="4100" max="4101" width="5.26953125" customWidth="1"/>
    <col min="4102" max="4102" width="5.81640625" customWidth="1"/>
    <col min="4103" max="4104" width="5" customWidth="1"/>
    <col min="4105" max="4105" width="9.81640625" customWidth="1"/>
    <col min="4106" max="4106" width="6" customWidth="1"/>
    <col min="4107" max="4107" width="9.54296875" customWidth="1"/>
    <col min="4109" max="4109" width="19" customWidth="1"/>
    <col min="4110" max="4110" width="4.7265625" customWidth="1"/>
    <col min="4111" max="4111" width="3.1796875" customWidth="1"/>
    <col min="4112" max="4112" width="4.7265625" customWidth="1"/>
    <col min="4113" max="4113" width="2.81640625" customWidth="1"/>
    <col min="4114" max="4114" width="7.81640625" customWidth="1"/>
    <col min="4353" max="4354" width="5.81640625" customWidth="1"/>
    <col min="4355" max="4355" width="7.453125" customWidth="1"/>
    <col min="4356" max="4357" width="5.26953125" customWidth="1"/>
    <col min="4358" max="4358" width="5.81640625" customWidth="1"/>
    <col min="4359" max="4360" width="5" customWidth="1"/>
    <col min="4361" max="4361" width="9.81640625" customWidth="1"/>
    <col min="4362" max="4362" width="6" customWidth="1"/>
    <col min="4363" max="4363" width="9.54296875" customWidth="1"/>
    <col min="4365" max="4365" width="19" customWidth="1"/>
    <col min="4366" max="4366" width="4.7265625" customWidth="1"/>
    <col min="4367" max="4367" width="3.1796875" customWidth="1"/>
    <col min="4368" max="4368" width="4.7265625" customWidth="1"/>
    <col min="4369" max="4369" width="2.81640625" customWidth="1"/>
    <col min="4370" max="4370" width="7.81640625" customWidth="1"/>
    <col min="4609" max="4610" width="5.81640625" customWidth="1"/>
    <col min="4611" max="4611" width="7.453125" customWidth="1"/>
    <col min="4612" max="4613" width="5.26953125" customWidth="1"/>
    <col min="4614" max="4614" width="5.81640625" customWidth="1"/>
    <col min="4615" max="4616" width="5" customWidth="1"/>
    <col min="4617" max="4617" width="9.81640625" customWidth="1"/>
    <col min="4618" max="4618" width="6" customWidth="1"/>
    <col min="4619" max="4619" width="9.54296875" customWidth="1"/>
    <col min="4621" max="4621" width="19" customWidth="1"/>
    <col min="4622" max="4622" width="4.7265625" customWidth="1"/>
    <col min="4623" max="4623" width="3.1796875" customWidth="1"/>
    <col min="4624" max="4624" width="4.7265625" customWidth="1"/>
    <col min="4625" max="4625" width="2.81640625" customWidth="1"/>
    <col min="4626" max="4626" width="7.81640625" customWidth="1"/>
    <col min="4865" max="4866" width="5.81640625" customWidth="1"/>
    <col min="4867" max="4867" width="7.453125" customWidth="1"/>
    <col min="4868" max="4869" width="5.26953125" customWidth="1"/>
    <col min="4870" max="4870" width="5.81640625" customWidth="1"/>
    <col min="4871" max="4872" width="5" customWidth="1"/>
    <col min="4873" max="4873" width="9.81640625" customWidth="1"/>
    <col min="4874" max="4874" width="6" customWidth="1"/>
    <col min="4875" max="4875" width="9.54296875" customWidth="1"/>
    <col min="4877" max="4877" width="19" customWidth="1"/>
    <col min="4878" max="4878" width="4.7265625" customWidth="1"/>
    <col min="4879" max="4879" width="3.1796875" customWidth="1"/>
    <col min="4880" max="4880" width="4.7265625" customWidth="1"/>
    <col min="4881" max="4881" width="2.81640625" customWidth="1"/>
    <col min="4882" max="4882" width="7.81640625" customWidth="1"/>
    <col min="5121" max="5122" width="5.81640625" customWidth="1"/>
    <col min="5123" max="5123" width="7.453125" customWidth="1"/>
    <col min="5124" max="5125" width="5.26953125" customWidth="1"/>
    <col min="5126" max="5126" width="5.81640625" customWidth="1"/>
    <col min="5127" max="5128" width="5" customWidth="1"/>
    <col min="5129" max="5129" width="9.81640625" customWidth="1"/>
    <col min="5130" max="5130" width="6" customWidth="1"/>
    <col min="5131" max="5131" width="9.54296875" customWidth="1"/>
    <col min="5133" max="5133" width="19" customWidth="1"/>
    <col min="5134" max="5134" width="4.7265625" customWidth="1"/>
    <col min="5135" max="5135" width="3.1796875" customWidth="1"/>
    <col min="5136" max="5136" width="4.7265625" customWidth="1"/>
    <col min="5137" max="5137" width="2.81640625" customWidth="1"/>
    <col min="5138" max="5138" width="7.81640625" customWidth="1"/>
    <col min="5377" max="5378" width="5.81640625" customWidth="1"/>
    <col min="5379" max="5379" width="7.453125" customWidth="1"/>
    <col min="5380" max="5381" width="5.26953125" customWidth="1"/>
    <col min="5382" max="5382" width="5.81640625" customWidth="1"/>
    <col min="5383" max="5384" width="5" customWidth="1"/>
    <col min="5385" max="5385" width="9.81640625" customWidth="1"/>
    <col min="5386" max="5386" width="6" customWidth="1"/>
    <col min="5387" max="5387" width="9.54296875" customWidth="1"/>
    <col min="5389" max="5389" width="19" customWidth="1"/>
    <col min="5390" max="5390" width="4.7265625" customWidth="1"/>
    <col min="5391" max="5391" width="3.1796875" customWidth="1"/>
    <col min="5392" max="5392" width="4.7265625" customWidth="1"/>
    <col min="5393" max="5393" width="2.81640625" customWidth="1"/>
    <col min="5394" max="5394" width="7.81640625" customWidth="1"/>
    <col min="5633" max="5634" width="5.81640625" customWidth="1"/>
    <col min="5635" max="5635" width="7.453125" customWidth="1"/>
    <col min="5636" max="5637" width="5.26953125" customWidth="1"/>
    <col min="5638" max="5638" width="5.81640625" customWidth="1"/>
    <col min="5639" max="5640" width="5" customWidth="1"/>
    <col min="5641" max="5641" width="9.81640625" customWidth="1"/>
    <col min="5642" max="5642" width="6" customWidth="1"/>
    <col min="5643" max="5643" width="9.54296875" customWidth="1"/>
    <col min="5645" max="5645" width="19" customWidth="1"/>
    <col min="5646" max="5646" width="4.7265625" customWidth="1"/>
    <col min="5647" max="5647" width="3.1796875" customWidth="1"/>
    <col min="5648" max="5648" width="4.7265625" customWidth="1"/>
    <col min="5649" max="5649" width="2.81640625" customWidth="1"/>
    <col min="5650" max="5650" width="7.81640625" customWidth="1"/>
    <col min="5889" max="5890" width="5.81640625" customWidth="1"/>
    <col min="5891" max="5891" width="7.453125" customWidth="1"/>
    <col min="5892" max="5893" width="5.26953125" customWidth="1"/>
    <col min="5894" max="5894" width="5.81640625" customWidth="1"/>
    <col min="5895" max="5896" width="5" customWidth="1"/>
    <col min="5897" max="5897" width="9.81640625" customWidth="1"/>
    <col min="5898" max="5898" width="6" customWidth="1"/>
    <col min="5899" max="5899" width="9.54296875" customWidth="1"/>
    <col min="5901" max="5901" width="19" customWidth="1"/>
    <col min="5902" max="5902" width="4.7265625" customWidth="1"/>
    <col min="5903" max="5903" width="3.1796875" customWidth="1"/>
    <col min="5904" max="5904" width="4.7265625" customWidth="1"/>
    <col min="5905" max="5905" width="2.81640625" customWidth="1"/>
    <col min="5906" max="5906" width="7.81640625" customWidth="1"/>
    <col min="6145" max="6146" width="5.81640625" customWidth="1"/>
    <col min="6147" max="6147" width="7.453125" customWidth="1"/>
    <col min="6148" max="6149" width="5.26953125" customWidth="1"/>
    <col min="6150" max="6150" width="5.81640625" customWidth="1"/>
    <col min="6151" max="6152" width="5" customWidth="1"/>
    <col min="6153" max="6153" width="9.81640625" customWidth="1"/>
    <col min="6154" max="6154" width="6" customWidth="1"/>
    <col min="6155" max="6155" width="9.54296875" customWidth="1"/>
    <col min="6157" max="6157" width="19" customWidth="1"/>
    <col min="6158" max="6158" width="4.7265625" customWidth="1"/>
    <col min="6159" max="6159" width="3.1796875" customWidth="1"/>
    <col min="6160" max="6160" width="4.7265625" customWidth="1"/>
    <col min="6161" max="6161" width="2.81640625" customWidth="1"/>
    <col min="6162" max="6162" width="7.81640625" customWidth="1"/>
    <col min="6401" max="6402" width="5.81640625" customWidth="1"/>
    <col min="6403" max="6403" width="7.453125" customWidth="1"/>
    <col min="6404" max="6405" width="5.26953125" customWidth="1"/>
    <col min="6406" max="6406" width="5.81640625" customWidth="1"/>
    <col min="6407" max="6408" width="5" customWidth="1"/>
    <col min="6409" max="6409" width="9.81640625" customWidth="1"/>
    <col min="6410" max="6410" width="6" customWidth="1"/>
    <col min="6411" max="6411" width="9.54296875" customWidth="1"/>
    <col min="6413" max="6413" width="19" customWidth="1"/>
    <col min="6414" max="6414" width="4.7265625" customWidth="1"/>
    <col min="6415" max="6415" width="3.1796875" customWidth="1"/>
    <col min="6416" max="6416" width="4.7265625" customWidth="1"/>
    <col min="6417" max="6417" width="2.81640625" customWidth="1"/>
    <col min="6418" max="6418" width="7.81640625" customWidth="1"/>
    <col min="6657" max="6658" width="5.81640625" customWidth="1"/>
    <col min="6659" max="6659" width="7.453125" customWidth="1"/>
    <col min="6660" max="6661" width="5.26953125" customWidth="1"/>
    <col min="6662" max="6662" width="5.81640625" customWidth="1"/>
    <col min="6663" max="6664" width="5" customWidth="1"/>
    <col min="6665" max="6665" width="9.81640625" customWidth="1"/>
    <col min="6666" max="6666" width="6" customWidth="1"/>
    <col min="6667" max="6667" width="9.54296875" customWidth="1"/>
    <col min="6669" max="6669" width="19" customWidth="1"/>
    <col min="6670" max="6670" width="4.7265625" customWidth="1"/>
    <col min="6671" max="6671" width="3.1796875" customWidth="1"/>
    <col min="6672" max="6672" width="4.7265625" customWidth="1"/>
    <col min="6673" max="6673" width="2.81640625" customWidth="1"/>
    <col min="6674" max="6674" width="7.81640625" customWidth="1"/>
    <col min="6913" max="6914" width="5.81640625" customWidth="1"/>
    <col min="6915" max="6915" width="7.453125" customWidth="1"/>
    <col min="6916" max="6917" width="5.26953125" customWidth="1"/>
    <col min="6918" max="6918" width="5.81640625" customWidth="1"/>
    <col min="6919" max="6920" width="5" customWidth="1"/>
    <col min="6921" max="6921" width="9.81640625" customWidth="1"/>
    <col min="6922" max="6922" width="6" customWidth="1"/>
    <col min="6923" max="6923" width="9.54296875" customWidth="1"/>
    <col min="6925" max="6925" width="19" customWidth="1"/>
    <col min="6926" max="6926" width="4.7265625" customWidth="1"/>
    <col min="6927" max="6927" width="3.1796875" customWidth="1"/>
    <col min="6928" max="6928" width="4.7265625" customWidth="1"/>
    <col min="6929" max="6929" width="2.81640625" customWidth="1"/>
    <col min="6930" max="6930" width="7.81640625" customWidth="1"/>
    <col min="7169" max="7170" width="5.81640625" customWidth="1"/>
    <col min="7171" max="7171" width="7.453125" customWidth="1"/>
    <col min="7172" max="7173" width="5.26953125" customWidth="1"/>
    <col min="7174" max="7174" width="5.81640625" customWidth="1"/>
    <col min="7175" max="7176" width="5" customWidth="1"/>
    <col min="7177" max="7177" width="9.81640625" customWidth="1"/>
    <col min="7178" max="7178" width="6" customWidth="1"/>
    <col min="7179" max="7179" width="9.54296875" customWidth="1"/>
    <col min="7181" max="7181" width="19" customWidth="1"/>
    <col min="7182" max="7182" width="4.7265625" customWidth="1"/>
    <col min="7183" max="7183" width="3.1796875" customWidth="1"/>
    <col min="7184" max="7184" width="4.7265625" customWidth="1"/>
    <col min="7185" max="7185" width="2.81640625" customWidth="1"/>
    <col min="7186" max="7186" width="7.81640625" customWidth="1"/>
    <col min="7425" max="7426" width="5.81640625" customWidth="1"/>
    <col min="7427" max="7427" width="7.453125" customWidth="1"/>
    <col min="7428" max="7429" width="5.26953125" customWidth="1"/>
    <col min="7430" max="7430" width="5.81640625" customWidth="1"/>
    <col min="7431" max="7432" width="5" customWidth="1"/>
    <col min="7433" max="7433" width="9.81640625" customWidth="1"/>
    <col min="7434" max="7434" width="6" customWidth="1"/>
    <col min="7435" max="7435" width="9.54296875" customWidth="1"/>
    <col min="7437" max="7437" width="19" customWidth="1"/>
    <col min="7438" max="7438" width="4.7265625" customWidth="1"/>
    <col min="7439" max="7439" width="3.1796875" customWidth="1"/>
    <col min="7440" max="7440" width="4.7265625" customWidth="1"/>
    <col min="7441" max="7441" width="2.81640625" customWidth="1"/>
    <col min="7442" max="7442" width="7.81640625" customWidth="1"/>
    <col min="7681" max="7682" width="5.81640625" customWidth="1"/>
    <col min="7683" max="7683" width="7.453125" customWidth="1"/>
    <col min="7684" max="7685" width="5.26953125" customWidth="1"/>
    <col min="7686" max="7686" width="5.81640625" customWidth="1"/>
    <col min="7687" max="7688" width="5" customWidth="1"/>
    <col min="7689" max="7689" width="9.81640625" customWidth="1"/>
    <col min="7690" max="7690" width="6" customWidth="1"/>
    <col min="7691" max="7691" width="9.54296875" customWidth="1"/>
    <col min="7693" max="7693" width="19" customWidth="1"/>
    <col min="7694" max="7694" width="4.7265625" customWidth="1"/>
    <col min="7695" max="7695" width="3.1796875" customWidth="1"/>
    <col min="7696" max="7696" width="4.7265625" customWidth="1"/>
    <col min="7697" max="7697" width="2.81640625" customWidth="1"/>
    <col min="7698" max="7698" width="7.81640625" customWidth="1"/>
    <col min="7937" max="7938" width="5.81640625" customWidth="1"/>
    <col min="7939" max="7939" width="7.453125" customWidth="1"/>
    <col min="7940" max="7941" width="5.26953125" customWidth="1"/>
    <col min="7942" max="7942" width="5.81640625" customWidth="1"/>
    <col min="7943" max="7944" width="5" customWidth="1"/>
    <col min="7945" max="7945" width="9.81640625" customWidth="1"/>
    <col min="7946" max="7946" width="6" customWidth="1"/>
    <col min="7947" max="7947" width="9.54296875" customWidth="1"/>
    <col min="7949" max="7949" width="19" customWidth="1"/>
    <col min="7950" max="7950" width="4.7265625" customWidth="1"/>
    <col min="7951" max="7951" width="3.1796875" customWidth="1"/>
    <col min="7952" max="7952" width="4.7265625" customWidth="1"/>
    <col min="7953" max="7953" width="2.81640625" customWidth="1"/>
    <col min="7954" max="7954" width="7.81640625" customWidth="1"/>
    <col min="8193" max="8194" width="5.81640625" customWidth="1"/>
    <col min="8195" max="8195" width="7.453125" customWidth="1"/>
    <col min="8196" max="8197" width="5.26953125" customWidth="1"/>
    <col min="8198" max="8198" width="5.81640625" customWidth="1"/>
    <col min="8199" max="8200" width="5" customWidth="1"/>
    <col min="8201" max="8201" width="9.81640625" customWidth="1"/>
    <col min="8202" max="8202" width="6" customWidth="1"/>
    <col min="8203" max="8203" width="9.54296875" customWidth="1"/>
    <col min="8205" max="8205" width="19" customWidth="1"/>
    <col min="8206" max="8206" width="4.7265625" customWidth="1"/>
    <col min="8207" max="8207" width="3.1796875" customWidth="1"/>
    <col min="8208" max="8208" width="4.7265625" customWidth="1"/>
    <col min="8209" max="8209" width="2.81640625" customWidth="1"/>
    <col min="8210" max="8210" width="7.81640625" customWidth="1"/>
    <col min="8449" max="8450" width="5.81640625" customWidth="1"/>
    <col min="8451" max="8451" width="7.453125" customWidth="1"/>
    <col min="8452" max="8453" width="5.26953125" customWidth="1"/>
    <col min="8454" max="8454" width="5.81640625" customWidth="1"/>
    <col min="8455" max="8456" width="5" customWidth="1"/>
    <col min="8457" max="8457" width="9.81640625" customWidth="1"/>
    <col min="8458" max="8458" width="6" customWidth="1"/>
    <col min="8459" max="8459" width="9.54296875" customWidth="1"/>
    <col min="8461" max="8461" width="19" customWidth="1"/>
    <col min="8462" max="8462" width="4.7265625" customWidth="1"/>
    <col min="8463" max="8463" width="3.1796875" customWidth="1"/>
    <col min="8464" max="8464" width="4.7265625" customWidth="1"/>
    <col min="8465" max="8465" width="2.81640625" customWidth="1"/>
    <col min="8466" max="8466" width="7.81640625" customWidth="1"/>
    <col min="8705" max="8706" width="5.81640625" customWidth="1"/>
    <col min="8707" max="8707" width="7.453125" customWidth="1"/>
    <col min="8708" max="8709" width="5.26953125" customWidth="1"/>
    <col min="8710" max="8710" width="5.81640625" customWidth="1"/>
    <col min="8711" max="8712" width="5" customWidth="1"/>
    <col min="8713" max="8713" width="9.81640625" customWidth="1"/>
    <col min="8714" max="8714" width="6" customWidth="1"/>
    <col min="8715" max="8715" width="9.54296875" customWidth="1"/>
    <col min="8717" max="8717" width="19" customWidth="1"/>
    <col min="8718" max="8718" width="4.7265625" customWidth="1"/>
    <col min="8719" max="8719" width="3.1796875" customWidth="1"/>
    <col min="8720" max="8720" width="4.7265625" customWidth="1"/>
    <col min="8721" max="8721" width="2.81640625" customWidth="1"/>
    <col min="8722" max="8722" width="7.81640625" customWidth="1"/>
    <col min="8961" max="8962" width="5.81640625" customWidth="1"/>
    <col min="8963" max="8963" width="7.453125" customWidth="1"/>
    <col min="8964" max="8965" width="5.26953125" customWidth="1"/>
    <col min="8966" max="8966" width="5.81640625" customWidth="1"/>
    <col min="8967" max="8968" width="5" customWidth="1"/>
    <col min="8969" max="8969" width="9.81640625" customWidth="1"/>
    <col min="8970" max="8970" width="6" customWidth="1"/>
    <col min="8971" max="8971" width="9.54296875" customWidth="1"/>
    <col min="8973" max="8973" width="19" customWidth="1"/>
    <col min="8974" max="8974" width="4.7265625" customWidth="1"/>
    <col min="8975" max="8975" width="3.1796875" customWidth="1"/>
    <col min="8976" max="8976" width="4.7265625" customWidth="1"/>
    <col min="8977" max="8977" width="2.81640625" customWidth="1"/>
    <col min="8978" max="8978" width="7.81640625" customWidth="1"/>
    <col min="9217" max="9218" width="5.81640625" customWidth="1"/>
    <col min="9219" max="9219" width="7.453125" customWidth="1"/>
    <col min="9220" max="9221" width="5.26953125" customWidth="1"/>
    <col min="9222" max="9222" width="5.81640625" customWidth="1"/>
    <col min="9223" max="9224" width="5" customWidth="1"/>
    <col min="9225" max="9225" width="9.81640625" customWidth="1"/>
    <col min="9226" max="9226" width="6" customWidth="1"/>
    <col min="9227" max="9227" width="9.54296875" customWidth="1"/>
    <col min="9229" max="9229" width="19" customWidth="1"/>
    <col min="9230" max="9230" width="4.7265625" customWidth="1"/>
    <col min="9231" max="9231" width="3.1796875" customWidth="1"/>
    <col min="9232" max="9232" width="4.7265625" customWidth="1"/>
    <col min="9233" max="9233" width="2.81640625" customWidth="1"/>
    <col min="9234" max="9234" width="7.81640625" customWidth="1"/>
    <col min="9473" max="9474" width="5.81640625" customWidth="1"/>
    <col min="9475" max="9475" width="7.453125" customWidth="1"/>
    <col min="9476" max="9477" width="5.26953125" customWidth="1"/>
    <col min="9478" max="9478" width="5.81640625" customWidth="1"/>
    <col min="9479" max="9480" width="5" customWidth="1"/>
    <col min="9481" max="9481" width="9.81640625" customWidth="1"/>
    <col min="9482" max="9482" width="6" customWidth="1"/>
    <col min="9483" max="9483" width="9.54296875" customWidth="1"/>
    <col min="9485" max="9485" width="19" customWidth="1"/>
    <col min="9486" max="9486" width="4.7265625" customWidth="1"/>
    <col min="9487" max="9487" width="3.1796875" customWidth="1"/>
    <col min="9488" max="9488" width="4.7265625" customWidth="1"/>
    <col min="9489" max="9489" width="2.81640625" customWidth="1"/>
    <col min="9490" max="9490" width="7.81640625" customWidth="1"/>
    <col min="9729" max="9730" width="5.81640625" customWidth="1"/>
    <col min="9731" max="9731" width="7.453125" customWidth="1"/>
    <col min="9732" max="9733" width="5.26953125" customWidth="1"/>
    <col min="9734" max="9734" width="5.81640625" customWidth="1"/>
    <col min="9735" max="9736" width="5" customWidth="1"/>
    <col min="9737" max="9737" width="9.81640625" customWidth="1"/>
    <col min="9738" max="9738" width="6" customWidth="1"/>
    <col min="9739" max="9739" width="9.54296875" customWidth="1"/>
    <col min="9741" max="9741" width="19" customWidth="1"/>
    <col min="9742" max="9742" width="4.7265625" customWidth="1"/>
    <col min="9743" max="9743" width="3.1796875" customWidth="1"/>
    <col min="9744" max="9744" width="4.7265625" customWidth="1"/>
    <col min="9745" max="9745" width="2.81640625" customWidth="1"/>
    <col min="9746" max="9746" width="7.81640625" customWidth="1"/>
    <col min="9985" max="9986" width="5.81640625" customWidth="1"/>
    <col min="9987" max="9987" width="7.453125" customWidth="1"/>
    <col min="9988" max="9989" width="5.26953125" customWidth="1"/>
    <col min="9990" max="9990" width="5.81640625" customWidth="1"/>
    <col min="9991" max="9992" width="5" customWidth="1"/>
    <col min="9993" max="9993" width="9.81640625" customWidth="1"/>
    <col min="9994" max="9994" width="6" customWidth="1"/>
    <col min="9995" max="9995" width="9.54296875" customWidth="1"/>
    <col min="9997" max="9997" width="19" customWidth="1"/>
    <col min="9998" max="9998" width="4.7265625" customWidth="1"/>
    <col min="9999" max="9999" width="3.1796875" customWidth="1"/>
    <col min="10000" max="10000" width="4.7265625" customWidth="1"/>
    <col min="10001" max="10001" width="2.81640625" customWidth="1"/>
    <col min="10002" max="10002" width="7.81640625" customWidth="1"/>
    <col min="10241" max="10242" width="5.81640625" customWidth="1"/>
    <col min="10243" max="10243" width="7.453125" customWidth="1"/>
    <col min="10244" max="10245" width="5.26953125" customWidth="1"/>
    <col min="10246" max="10246" width="5.81640625" customWidth="1"/>
    <col min="10247" max="10248" width="5" customWidth="1"/>
    <col min="10249" max="10249" width="9.81640625" customWidth="1"/>
    <col min="10250" max="10250" width="6" customWidth="1"/>
    <col min="10251" max="10251" width="9.54296875" customWidth="1"/>
    <col min="10253" max="10253" width="19" customWidth="1"/>
    <col min="10254" max="10254" width="4.7265625" customWidth="1"/>
    <col min="10255" max="10255" width="3.1796875" customWidth="1"/>
    <col min="10256" max="10256" width="4.7265625" customWidth="1"/>
    <col min="10257" max="10257" width="2.81640625" customWidth="1"/>
    <col min="10258" max="10258" width="7.81640625" customWidth="1"/>
    <col min="10497" max="10498" width="5.81640625" customWidth="1"/>
    <col min="10499" max="10499" width="7.453125" customWidth="1"/>
    <col min="10500" max="10501" width="5.26953125" customWidth="1"/>
    <col min="10502" max="10502" width="5.81640625" customWidth="1"/>
    <col min="10503" max="10504" width="5" customWidth="1"/>
    <col min="10505" max="10505" width="9.81640625" customWidth="1"/>
    <col min="10506" max="10506" width="6" customWidth="1"/>
    <col min="10507" max="10507" width="9.54296875" customWidth="1"/>
    <col min="10509" max="10509" width="19" customWidth="1"/>
    <col min="10510" max="10510" width="4.7265625" customWidth="1"/>
    <col min="10511" max="10511" width="3.1796875" customWidth="1"/>
    <col min="10512" max="10512" width="4.7265625" customWidth="1"/>
    <col min="10513" max="10513" width="2.81640625" customWidth="1"/>
    <col min="10514" max="10514" width="7.81640625" customWidth="1"/>
    <col min="10753" max="10754" width="5.81640625" customWidth="1"/>
    <col min="10755" max="10755" width="7.453125" customWidth="1"/>
    <col min="10756" max="10757" width="5.26953125" customWidth="1"/>
    <col min="10758" max="10758" width="5.81640625" customWidth="1"/>
    <col min="10759" max="10760" width="5" customWidth="1"/>
    <col min="10761" max="10761" width="9.81640625" customWidth="1"/>
    <col min="10762" max="10762" width="6" customWidth="1"/>
    <col min="10763" max="10763" width="9.54296875" customWidth="1"/>
    <col min="10765" max="10765" width="19" customWidth="1"/>
    <col min="10766" max="10766" width="4.7265625" customWidth="1"/>
    <col min="10767" max="10767" width="3.1796875" customWidth="1"/>
    <col min="10768" max="10768" width="4.7265625" customWidth="1"/>
    <col min="10769" max="10769" width="2.81640625" customWidth="1"/>
    <col min="10770" max="10770" width="7.81640625" customWidth="1"/>
    <col min="11009" max="11010" width="5.81640625" customWidth="1"/>
    <col min="11011" max="11011" width="7.453125" customWidth="1"/>
    <col min="11012" max="11013" width="5.26953125" customWidth="1"/>
    <col min="11014" max="11014" width="5.81640625" customWidth="1"/>
    <col min="11015" max="11016" width="5" customWidth="1"/>
    <col min="11017" max="11017" width="9.81640625" customWidth="1"/>
    <col min="11018" max="11018" width="6" customWidth="1"/>
    <col min="11019" max="11019" width="9.54296875" customWidth="1"/>
    <col min="11021" max="11021" width="19" customWidth="1"/>
    <col min="11022" max="11022" width="4.7265625" customWidth="1"/>
    <col min="11023" max="11023" width="3.1796875" customWidth="1"/>
    <col min="11024" max="11024" width="4.7265625" customWidth="1"/>
    <col min="11025" max="11025" width="2.81640625" customWidth="1"/>
    <col min="11026" max="11026" width="7.81640625" customWidth="1"/>
    <col min="11265" max="11266" width="5.81640625" customWidth="1"/>
    <col min="11267" max="11267" width="7.453125" customWidth="1"/>
    <col min="11268" max="11269" width="5.26953125" customWidth="1"/>
    <col min="11270" max="11270" width="5.81640625" customWidth="1"/>
    <col min="11271" max="11272" width="5" customWidth="1"/>
    <col min="11273" max="11273" width="9.81640625" customWidth="1"/>
    <col min="11274" max="11274" width="6" customWidth="1"/>
    <col min="11275" max="11275" width="9.54296875" customWidth="1"/>
    <col min="11277" max="11277" width="19" customWidth="1"/>
    <col min="11278" max="11278" width="4.7265625" customWidth="1"/>
    <col min="11279" max="11279" width="3.1796875" customWidth="1"/>
    <col min="11280" max="11280" width="4.7265625" customWidth="1"/>
    <col min="11281" max="11281" width="2.81640625" customWidth="1"/>
    <col min="11282" max="11282" width="7.81640625" customWidth="1"/>
    <col min="11521" max="11522" width="5.81640625" customWidth="1"/>
    <col min="11523" max="11523" width="7.453125" customWidth="1"/>
    <col min="11524" max="11525" width="5.26953125" customWidth="1"/>
    <col min="11526" max="11526" width="5.81640625" customWidth="1"/>
    <col min="11527" max="11528" width="5" customWidth="1"/>
    <col min="11529" max="11529" width="9.81640625" customWidth="1"/>
    <col min="11530" max="11530" width="6" customWidth="1"/>
    <col min="11531" max="11531" width="9.54296875" customWidth="1"/>
    <col min="11533" max="11533" width="19" customWidth="1"/>
    <col min="11534" max="11534" width="4.7265625" customWidth="1"/>
    <col min="11535" max="11535" width="3.1796875" customWidth="1"/>
    <col min="11536" max="11536" width="4.7265625" customWidth="1"/>
    <col min="11537" max="11537" width="2.81640625" customWidth="1"/>
    <col min="11538" max="11538" width="7.81640625" customWidth="1"/>
    <col min="11777" max="11778" width="5.81640625" customWidth="1"/>
    <col min="11779" max="11779" width="7.453125" customWidth="1"/>
    <col min="11780" max="11781" width="5.26953125" customWidth="1"/>
    <col min="11782" max="11782" width="5.81640625" customWidth="1"/>
    <col min="11783" max="11784" width="5" customWidth="1"/>
    <col min="11785" max="11785" width="9.81640625" customWidth="1"/>
    <col min="11786" max="11786" width="6" customWidth="1"/>
    <col min="11787" max="11787" width="9.54296875" customWidth="1"/>
    <col min="11789" max="11789" width="19" customWidth="1"/>
    <col min="11790" max="11790" width="4.7265625" customWidth="1"/>
    <col min="11791" max="11791" width="3.1796875" customWidth="1"/>
    <col min="11792" max="11792" width="4.7265625" customWidth="1"/>
    <col min="11793" max="11793" width="2.81640625" customWidth="1"/>
    <col min="11794" max="11794" width="7.81640625" customWidth="1"/>
    <col min="12033" max="12034" width="5.81640625" customWidth="1"/>
    <col min="12035" max="12035" width="7.453125" customWidth="1"/>
    <col min="12036" max="12037" width="5.26953125" customWidth="1"/>
    <col min="12038" max="12038" width="5.81640625" customWidth="1"/>
    <col min="12039" max="12040" width="5" customWidth="1"/>
    <col min="12041" max="12041" width="9.81640625" customWidth="1"/>
    <col min="12042" max="12042" width="6" customWidth="1"/>
    <col min="12043" max="12043" width="9.54296875" customWidth="1"/>
    <col min="12045" max="12045" width="19" customWidth="1"/>
    <col min="12046" max="12046" width="4.7265625" customWidth="1"/>
    <col min="12047" max="12047" width="3.1796875" customWidth="1"/>
    <col min="12048" max="12048" width="4.7265625" customWidth="1"/>
    <col min="12049" max="12049" width="2.81640625" customWidth="1"/>
    <col min="12050" max="12050" width="7.81640625" customWidth="1"/>
    <col min="12289" max="12290" width="5.81640625" customWidth="1"/>
    <col min="12291" max="12291" width="7.453125" customWidth="1"/>
    <col min="12292" max="12293" width="5.26953125" customWidth="1"/>
    <col min="12294" max="12294" width="5.81640625" customWidth="1"/>
    <col min="12295" max="12296" width="5" customWidth="1"/>
    <col min="12297" max="12297" width="9.81640625" customWidth="1"/>
    <col min="12298" max="12298" width="6" customWidth="1"/>
    <col min="12299" max="12299" width="9.54296875" customWidth="1"/>
    <col min="12301" max="12301" width="19" customWidth="1"/>
    <col min="12302" max="12302" width="4.7265625" customWidth="1"/>
    <col min="12303" max="12303" width="3.1796875" customWidth="1"/>
    <col min="12304" max="12304" width="4.7265625" customWidth="1"/>
    <col min="12305" max="12305" width="2.81640625" customWidth="1"/>
    <col min="12306" max="12306" width="7.81640625" customWidth="1"/>
    <col min="12545" max="12546" width="5.81640625" customWidth="1"/>
    <col min="12547" max="12547" width="7.453125" customWidth="1"/>
    <col min="12548" max="12549" width="5.26953125" customWidth="1"/>
    <col min="12550" max="12550" width="5.81640625" customWidth="1"/>
    <col min="12551" max="12552" width="5" customWidth="1"/>
    <col min="12553" max="12553" width="9.81640625" customWidth="1"/>
    <col min="12554" max="12554" width="6" customWidth="1"/>
    <col min="12555" max="12555" width="9.54296875" customWidth="1"/>
    <col min="12557" max="12557" width="19" customWidth="1"/>
    <col min="12558" max="12558" width="4.7265625" customWidth="1"/>
    <col min="12559" max="12559" width="3.1796875" customWidth="1"/>
    <col min="12560" max="12560" width="4.7265625" customWidth="1"/>
    <col min="12561" max="12561" width="2.81640625" customWidth="1"/>
    <col min="12562" max="12562" width="7.81640625" customWidth="1"/>
    <col min="12801" max="12802" width="5.81640625" customWidth="1"/>
    <col min="12803" max="12803" width="7.453125" customWidth="1"/>
    <col min="12804" max="12805" width="5.26953125" customWidth="1"/>
    <col min="12806" max="12806" width="5.81640625" customWidth="1"/>
    <col min="12807" max="12808" width="5" customWidth="1"/>
    <col min="12809" max="12809" width="9.81640625" customWidth="1"/>
    <col min="12810" max="12810" width="6" customWidth="1"/>
    <col min="12811" max="12811" width="9.54296875" customWidth="1"/>
    <col min="12813" max="12813" width="19" customWidth="1"/>
    <col min="12814" max="12814" width="4.7265625" customWidth="1"/>
    <col min="12815" max="12815" width="3.1796875" customWidth="1"/>
    <col min="12816" max="12816" width="4.7265625" customWidth="1"/>
    <col min="12817" max="12817" width="2.81640625" customWidth="1"/>
    <col min="12818" max="12818" width="7.81640625" customWidth="1"/>
    <col min="13057" max="13058" width="5.81640625" customWidth="1"/>
    <col min="13059" max="13059" width="7.453125" customWidth="1"/>
    <col min="13060" max="13061" width="5.26953125" customWidth="1"/>
    <col min="13062" max="13062" width="5.81640625" customWidth="1"/>
    <col min="13063" max="13064" width="5" customWidth="1"/>
    <col min="13065" max="13065" width="9.81640625" customWidth="1"/>
    <col min="13066" max="13066" width="6" customWidth="1"/>
    <col min="13067" max="13067" width="9.54296875" customWidth="1"/>
    <col min="13069" max="13069" width="19" customWidth="1"/>
    <col min="13070" max="13070" width="4.7265625" customWidth="1"/>
    <col min="13071" max="13071" width="3.1796875" customWidth="1"/>
    <col min="13072" max="13072" width="4.7265625" customWidth="1"/>
    <col min="13073" max="13073" width="2.81640625" customWidth="1"/>
    <col min="13074" max="13074" width="7.81640625" customWidth="1"/>
    <col min="13313" max="13314" width="5.81640625" customWidth="1"/>
    <col min="13315" max="13315" width="7.453125" customWidth="1"/>
    <col min="13316" max="13317" width="5.26953125" customWidth="1"/>
    <col min="13318" max="13318" width="5.81640625" customWidth="1"/>
    <col min="13319" max="13320" width="5" customWidth="1"/>
    <col min="13321" max="13321" width="9.81640625" customWidth="1"/>
    <col min="13322" max="13322" width="6" customWidth="1"/>
    <col min="13323" max="13323" width="9.54296875" customWidth="1"/>
    <col min="13325" max="13325" width="19" customWidth="1"/>
    <col min="13326" max="13326" width="4.7265625" customWidth="1"/>
    <col min="13327" max="13327" width="3.1796875" customWidth="1"/>
    <col min="13328" max="13328" width="4.7265625" customWidth="1"/>
    <col min="13329" max="13329" width="2.81640625" customWidth="1"/>
    <col min="13330" max="13330" width="7.81640625" customWidth="1"/>
    <col min="13569" max="13570" width="5.81640625" customWidth="1"/>
    <col min="13571" max="13571" width="7.453125" customWidth="1"/>
    <col min="13572" max="13573" width="5.26953125" customWidth="1"/>
    <col min="13574" max="13574" width="5.81640625" customWidth="1"/>
    <col min="13575" max="13576" width="5" customWidth="1"/>
    <col min="13577" max="13577" width="9.81640625" customWidth="1"/>
    <col min="13578" max="13578" width="6" customWidth="1"/>
    <col min="13579" max="13579" width="9.54296875" customWidth="1"/>
    <col min="13581" max="13581" width="19" customWidth="1"/>
    <col min="13582" max="13582" width="4.7265625" customWidth="1"/>
    <col min="13583" max="13583" width="3.1796875" customWidth="1"/>
    <col min="13584" max="13584" width="4.7265625" customWidth="1"/>
    <col min="13585" max="13585" width="2.81640625" customWidth="1"/>
    <col min="13586" max="13586" width="7.81640625" customWidth="1"/>
    <col min="13825" max="13826" width="5.81640625" customWidth="1"/>
    <col min="13827" max="13827" width="7.453125" customWidth="1"/>
    <col min="13828" max="13829" width="5.26953125" customWidth="1"/>
    <col min="13830" max="13830" width="5.81640625" customWidth="1"/>
    <col min="13831" max="13832" width="5" customWidth="1"/>
    <col min="13833" max="13833" width="9.81640625" customWidth="1"/>
    <col min="13834" max="13834" width="6" customWidth="1"/>
    <col min="13835" max="13835" width="9.54296875" customWidth="1"/>
    <col min="13837" max="13837" width="19" customWidth="1"/>
    <col min="13838" max="13838" width="4.7265625" customWidth="1"/>
    <col min="13839" max="13839" width="3.1796875" customWidth="1"/>
    <col min="13840" max="13840" width="4.7265625" customWidth="1"/>
    <col min="13841" max="13841" width="2.81640625" customWidth="1"/>
    <col min="13842" max="13842" width="7.81640625" customWidth="1"/>
    <col min="14081" max="14082" width="5.81640625" customWidth="1"/>
    <col min="14083" max="14083" width="7.453125" customWidth="1"/>
    <col min="14084" max="14085" width="5.26953125" customWidth="1"/>
    <col min="14086" max="14086" width="5.81640625" customWidth="1"/>
    <col min="14087" max="14088" width="5" customWidth="1"/>
    <col min="14089" max="14089" width="9.81640625" customWidth="1"/>
    <col min="14090" max="14090" width="6" customWidth="1"/>
    <col min="14091" max="14091" width="9.54296875" customWidth="1"/>
    <col min="14093" max="14093" width="19" customWidth="1"/>
    <col min="14094" max="14094" width="4.7265625" customWidth="1"/>
    <col min="14095" max="14095" width="3.1796875" customWidth="1"/>
    <col min="14096" max="14096" width="4.7265625" customWidth="1"/>
    <col min="14097" max="14097" width="2.81640625" customWidth="1"/>
    <col min="14098" max="14098" width="7.81640625" customWidth="1"/>
    <col min="14337" max="14338" width="5.81640625" customWidth="1"/>
    <col min="14339" max="14339" width="7.453125" customWidth="1"/>
    <col min="14340" max="14341" width="5.26953125" customWidth="1"/>
    <col min="14342" max="14342" width="5.81640625" customWidth="1"/>
    <col min="14343" max="14344" width="5" customWidth="1"/>
    <col min="14345" max="14345" width="9.81640625" customWidth="1"/>
    <col min="14346" max="14346" width="6" customWidth="1"/>
    <col min="14347" max="14347" width="9.54296875" customWidth="1"/>
    <col min="14349" max="14349" width="19" customWidth="1"/>
    <col min="14350" max="14350" width="4.7265625" customWidth="1"/>
    <col min="14351" max="14351" width="3.1796875" customWidth="1"/>
    <col min="14352" max="14352" width="4.7265625" customWidth="1"/>
    <col min="14353" max="14353" width="2.81640625" customWidth="1"/>
    <col min="14354" max="14354" width="7.81640625" customWidth="1"/>
    <col min="14593" max="14594" width="5.81640625" customWidth="1"/>
    <col min="14595" max="14595" width="7.453125" customWidth="1"/>
    <col min="14596" max="14597" width="5.26953125" customWidth="1"/>
    <col min="14598" max="14598" width="5.81640625" customWidth="1"/>
    <col min="14599" max="14600" width="5" customWidth="1"/>
    <col min="14601" max="14601" width="9.81640625" customWidth="1"/>
    <col min="14602" max="14602" width="6" customWidth="1"/>
    <col min="14603" max="14603" width="9.54296875" customWidth="1"/>
    <col min="14605" max="14605" width="19" customWidth="1"/>
    <col min="14606" max="14606" width="4.7265625" customWidth="1"/>
    <col min="14607" max="14607" width="3.1796875" customWidth="1"/>
    <col min="14608" max="14608" width="4.7265625" customWidth="1"/>
    <col min="14609" max="14609" width="2.81640625" customWidth="1"/>
    <col min="14610" max="14610" width="7.81640625" customWidth="1"/>
    <col min="14849" max="14850" width="5.81640625" customWidth="1"/>
    <col min="14851" max="14851" width="7.453125" customWidth="1"/>
    <col min="14852" max="14853" width="5.26953125" customWidth="1"/>
    <col min="14854" max="14854" width="5.81640625" customWidth="1"/>
    <col min="14855" max="14856" width="5" customWidth="1"/>
    <col min="14857" max="14857" width="9.81640625" customWidth="1"/>
    <col min="14858" max="14858" width="6" customWidth="1"/>
    <col min="14859" max="14859" width="9.54296875" customWidth="1"/>
    <col min="14861" max="14861" width="19" customWidth="1"/>
    <col min="14862" max="14862" width="4.7265625" customWidth="1"/>
    <col min="14863" max="14863" width="3.1796875" customWidth="1"/>
    <col min="14864" max="14864" width="4.7265625" customWidth="1"/>
    <col min="14865" max="14865" width="2.81640625" customWidth="1"/>
    <col min="14866" max="14866" width="7.81640625" customWidth="1"/>
    <col min="15105" max="15106" width="5.81640625" customWidth="1"/>
    <col min="15107" max="15107" width="7.453125" customWidth="1"/>
    <col min="15108" max="15109" width="5.26953125" customWidth="1"/>
    <col min="15110" max="15110" width="5.81640625" customWidth="1"/>
    <col min="15111" max="15112" width="5" customWidth="1"/>
    <col min="15113" max="15113" width="9.81640625" customWidth="1"/>
    <col min="15114" max="15114" width="6" customWidth="1"/>
    <col min="15115" max="15115" width="9.54296875" customWidth="1"/>
    <col min="15117" max="15117" width="19" customWidth="1"/>
    <col min="15118" max="15118" width="4.7265625" customWidth="1"/>
    <col min="15119" max="15119" width="3.1796875" customWidth="1"/>
    <col min="15120" max="15120" width="4.7265625" customWidth="1"/>
    <col min="15121" max="15121" width="2.81640625" customWidth="1"/>
    <col min="15122" max="15122" width="7.81640625" customWidth="1"/>
    <col min="15361" max="15362" width="5.81640625" customWidth="1"/>
    <col min="15363" max="15363" width="7.453125" customWidth="1"/>
    <col min="15364" max="15365" width="5.26953125" customWidth="1"/>
    <col min="15366" max="15366" width="5.81640625" customWidth="1"/>
    <col min="15367" max="15368" width="5" customWidth="1"/>
    <col min="15369" max="15369" width="9.81640625" customWidth="1"/>
    <col min="15370" max="15370" width="6" customWidth="1"/>
    <col min="15371" max="15371" width="9.54296875" customWidth="1"/>
    <col min="15373" max="15373" width="19" customWidth="1"/>
    <col min="15374" max="15374" width="4.7265625" customWidth="1"/>
    <col min="15375" max="15375" width="3.1796875" customWidth="1"/>
    <col min="15376" max="15376" width="4.7265625" customWidth="1"/>
    <col min="15377" max="15377" width="2.81640625" customWidth="1"/>
    <col min="15378" max="15378" width="7.81640625" customWidth="1"/>
    <col min="15617" max="15618" width="5.81640625" customWidth="1"/>
    <col min="15619" max="15619" width="7.453125" customWidth="1"/>
    <col min="15620" max="15621" width="5.26953125" customWidth="1"/>
    <col min="15622" max="15622" width="5.81640625" customWidth="1"/>
    <col min="15623" max="15624" width="5" customWidth="1"/>
    <col min="15625" max="15625" width="9.81640625" customWidth="1"/>
    <col min="15626" max="15626" width="6" customWidth="1"/>
    <col min="15627" max="15627" width="9.54296875" customWidth="1"/>
    <col min="15629" max="15629" width="19" customWidth="1"/>
    <col min="15630" max="15630" width="4.7265625" customWidth="1"/>
    <col min="15631" max="15631" width="3.1796875" customWidth="1"/>
    <col min="15632" max="15632" width="4.7265625" customWidth="1"/>
    <col min="15633" max="15633" width="2.81640625" customWidth="1"/>
    <col min="15634" max="15634" width="7.81640625" customWidth="1"/>
    <col min="15873" max="15874" width="5.81640625" customWidth="1"/>
    <col min="15875" max="15875" width="7.453125" customWidth="1"/>
    <col min="15876" max="15877" width="5.26953125" customWidth="1"/>
    <col min="15878" max="15878" width="5.81640625" customWidth="1"/>
    <col min="15879" max="15880" width="5" customWidth="1"/>
    <col min="15881" max="15881" width="9.81640625" customWidth="1"/>
    <col min="15882" max="15882" width="6" customWidth="1"/>
    <col min="15883" max="15883" width="9.54296875" customWidth="1"/>
    <col min="15885" max="15885" width="19" customWidth="1"/>
    <col min="15886" max="15886" width="4.7265625" customWidth="1"/>
    <col min="15887" max="15887" width="3.1796875" customWidth="1"/>
    <col min="15888" max="15888" width="4.7265625" customWidth="1"/>
    <col min="15889" max="15889" width="2.81640625" customWidth="1"/>
    <col min="15890" max="15890" width="7.81640625" customWidth="1"/>
    <col min="16129" max="16130" width="5.81640625" customWidth="1"/>
    <col min="16131" max="16131" width="7.453125" customWidth="1"/>
    <col min="16132" max="16133" width="5.26953125" customWidth="1"/>
    <col min="16134" max="16134" width="5.81640625" customWidth="1"/>
    <col min="16135" max="16136" width="5" customWidth="1"/>
    <col min="16137" max="16137" width="9.81640625" customWidth="1"/>
    <col min="16138" max="16138" width="6" customWidth="1"/>
    <col min="16139" max="16139" width="9.54296875" customWidth="1"/>
    <col min="16141" max="16141" width="19" customWidth="1"/>
    <col min="16142" max="16142" width="4.7265625" customWidth="1"/>
    <col min="16143" max="16143" width="3.1796875" customWidth="1"/>
    <col min="16144" max="16144" width="4.7265625" customWidth="1"/>
    <col min="16145" max="16145" width="2.81640625" customWidth="1"/>
    <col min="16146" max="16146" width="7.81640625" customWidth="1"/>
  </cols>
  <sheetData>
    <row r="1" spans="1:14" ht="18" x14ac:dyDescent="0.4">
      <c r="A1" s="269" t="s">
        <v>41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34"/>
    </row>
    <row r="2" spans="1:14" ht="18" x14ac:dyDescent="0.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34"/>
    </row>
    <row r="3" spans="1:14" ht="18" x14ac:dyDescent="0.4">
      <c r="A3" s="23"/>
      <c r="B3" s="276" t="s">
        <v>4</v>
      </c>
      <c r="C3" s="276"/>
      <c r="D3" s="276" t="s">
        <v>24</v>
      </c>
      <c r="E3" s="276"/>
      <c r="F3" s="276"/>
      <c r="G3" s="276"/>
      <c r="H3" s="276"/>
      <c r="I3" s="278" t="s">
        <v>73</v>
      </c>
      <c r="J3" s="278" t="s">
        <v>6</v>
      </c>
      <c r="K3" s="279" t="s">
        <v>42</v>
      </c>
      <c r="L3" s="23"/>
      <c r="M3" s="23"/>
      <c r="N3" s="34"/>
    </row>
    <row r="4" spans="1:14" x14ac:dyDescent="0.35">
      <c r="B4" s="277"/>
      <c r="C4" s="277"/>
      <c r="D4" s="276"/>
      <c r="E4" s="276"/>
      <c r="F4" s="276"/>
      <c r="G4" s="276"/>
      <c r="H4" s="276"/>
      <c r="I4" s="278"/>
      <c r="J4" s="278"/>
      <c r="K4" s="279"/>
      <c r="L4" s="34"/>
      <c r="M4" s="34"/>
      <c r="N4" s="34"/>
    </row>
    <row r="5" spans="1:14" s="31" customFormat="1" ht="13" x14ac:dyDescent="0.3">
      <c r="A5" s="29"/>
      <c r="B5" s="142"/>
      <c r="C5" s="142"/>
      <c r="D5" s="144"/>
      <c r="E5" s="143"/>
      <c r="F5" s="143"/>
      <c r="G5" s="143"/>
      <c r="H5" s="143"/>
      <c r="I5" s="152">
        <v>1</v>
      </c>
      <c r="J5" s="152">
        <v>0</v>
      </c>
      <c r="K5" s="143"/>
      <c r="L5" s="272" t="s">
        <v>43</v>
      </c>
      <c r="M5" s="272"/>
      <c r="N5" s="29"/>
    </row>
    <row r="6" spans="1:14" x14ac:dyDescent="0.35">
      <c r="B6" s="153" t="s">
        <v>9</v>
      </c>
      <c r="C6" s="153" t="s">
        <v>9</v>
      </c>
      <c r="D6" s="153" t="s">
        <v>9</v>
      </c>
      <c r="E6" s="153" t="s">
        <v>9</v>
      </c>
      <c r="F6" s="153" t="s">
        <v>9</v>
      </c>
      <c r="G6" s="153" t="s">
        <v>9</v>
      </c>
      <c r="H6" s="153" t="s">
        <v>9</v>
      </c>
      <c r="I6" s="153" t="s">
        <v>9</v>
      </c>
      <c r="J6" s="153" t="s">
        <v>9</v>
      </c>
      <c r="K6" s="153" t="s">
        <v>9</v>
      </c>
      <c r="L6" s="34"/>
      <c r="M6" s="34"/>
      <c r="N6" s="34"/>
    </row>
    <row r="7" spans="1:14" x14ac:dyDescent="0.35">
      <c r="B7" s="154">
        <v>1</v>
      </c>
      <c r="C7" s="154">
        <v>2</v>
      </c>
      <c r="D7" s="154">
        <v>1</v>
      </c>
      <c r="E7" s="154">
        <v>2</v>
      </c>
      <c r="F7" s="154">
        <v>1</v>
      </c>
      <c r="G7" s="154">
        <v>2</v>
      </c>
      <c r="H7" s="154">
        <v>1</v>
      </c>
      <c r="I7" s="154">
        <v>2</v>
      </c>
      <c r="J7" s="154">
        <v>1</v>
      </c>
      <c r="K7" s="154">
        <v>2</v>
      </c>
      <c r="L7" s="280" t="s">
        <v>44</v>
      </c>
      <c r="M7" s="280"/>
      <c r="N7" s="34"/>
    </row>
    <row r="8" spans="1:14" x14ac:dyDescent="0.35">
      <c r="B8" s="155" t="s">
        <v>11</v>
      </c>
      <c r="C8" s="155" t="s">
        <v>11</v>
      </c>
      <c r="D8" s="155" t="s">
        <v>11</v>
      </c>
      <c r="E8" s="155" t="s">
        <v>11</v>
      </c>
      <c r="F8" s="155" t="s">
        <v>11</v>
      </c>
      <c r="G8" s="155" t="s">
        <v>11</v>
      </c>
      <c r="H8" s="155" t="s">
        <v>11</v>
      </c>
      <c r="I8" s="155" t="s">
        <v>11</v>
      </c>
      <c r="J8" s="155" t="s">
        <v>11</v>
      </c>
      <c r="K8" s="155" t="s">
        <v>11</v>
      </c>
      <c r="L8" s="37"/>
      <c r="M8" s="34"/>
      <c r="N8" s="34"/>
    </row>
    <row r="9" spans="1:14" x14ac:dyDescent="0.35">
      <c r="B9" s="127">
        <f t="shared" ref="B9:K9" si="0">B7*B5</f>
        <v>0</v>
      </c>
      <c r="C9" s="127">
        <f t="shared" si="0"/>
        <v>0</v>
      </c>
      <c r="D9" s="127">
        <f t="shared" si="0"/>
        <v>0</v>
      </c>
      <c r="E9" s="127">
        <f t="shared" si="0"/>
        <v>0</v>
      </c>
      <c r="F9" s="127">
        <f t="shared" si="0"/>
        <v>0</v>
      </c>
      <c r="G9" s="127">
        <f t="shared" si="0"/>
        <v>0</v>
      </c>
      <c r="H9" s="127">
        <f t="shared" si="0"/>
        <v>0</v>
      </c>
      <c r="I9" s="127">
        <f t="shared" si="0"/>
        <v>2</v>
      </c>
      <c r="J9" s="127">
        <f t="shared" si="0"/>
        <v>0</v>
      </c>
      <c r="K9" s="127">
        <f t="shared" si="0"/>
        <v>0</v>
      </c>
      <c r="L9" s="268" t="s">
        <v>45</v>
      </c>
      <c r="M9" s="268"/>
      <c r="N9" s="34"/>
    </row>
    <row r="10" spans="1:14" x14ac:dyDescent="0.35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29"/>
      <c r="M10" s="34"/>
      <c r="N10" s="34"/>
    </row>
    <row r="11" spans="1:14" x14ac:dyDescent="0.35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29"/>
      <c r="M11" s="34"/>
      <c r="N11" s="34"/>
    </row>
    <row r="12" spans="1:14" x14ac:dyDescent="0.35">
      <c r="B12" s="267" t="s">
        <v>46</v>
      </c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34"/>
      <c r="N12" s="34"/>
    </row>
    <row r="13" spans="1:14" x14ac:dyDescent="0.35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29"/>
      <c r="M13" s="34"/>
      <c r="N13" s="34"/>
    </row>
    <row r="14" spans="1:14" s="34" customFormat="1" x14ac:dyDescent="0.35">
      <c r="A14" s="34" t="s">
        <v>47</v>
      </c>
      <c r="B14" s="128" t="b">
        <f>IF(C9&gt;9,C9)</f>
        <v>0</v>
      </c>
      <c r="C14" s="36" t="s">
        <v>11</v>
      </c>
      <c r="D14" s="129" t="e">
        <f>VALUE(LEFT(B14,1))</f>
        <v>#VALUE!</v>
      </c>
      <c r="E14" s="130" t="e">
        <f>VALUE(RIGHT(B14,1))</f>
        <v>#VALUE!</v>
      </c>
      <c r="F14" s="36" t="s">
        <v>11</v>
      </c>
      <c r="G14" s="260" t="e">
        <f>IF(B14&lt;10,B14,SUM(D14:E14))</f>
        <v>#VALUE!</v>
      </c>
      <c r="H14" s="260"/>
    </row>
    <row r="15" spans="1:14" x14ac:dyDescent="0.35">
      <c r="E15" s="38"/>
      <c r="F15" s="34"/>
      <c r="G15" s="34"/>
      <c r="H15" s="34"/>
      <c r="I15" s="34"/>
      <c r="J15" s="34"/>
      <c r="K15" s="34"/>
      <c r="L15" s="34"/>
      <c r="M15" s="34"/>
      <c r="N15" s="34"/>
    </row>
    <row r="16" spans="1:14" x14ac:dyDescent="0.35">
      <c r="A16" s="34" t="s">
        <v>48</v>
      </c>
      <c r="B16" s="128" t="b">
        <f>IF(E9&gt;9,E9)</f>
        <v>0</v>
      </c>
      <c r="C16" s="35" t="s">
        <v>11</v>
      </c>
      <c r="D16" s="129" t="e">
        <f>VALUE(LEFT(B16,1))</f>
        <v>#VALUE!</v>
      </c>
      <c r="E16" s="130" t="e">
        <f>VALUE(RIGHT(B16,1))</f>
        <v>#VALUE!</v>
      </c>
      <c r="F16" s="36" t="s">
        <v>11</v>
      </c>
      <c r="G16" s="260" t="e">
        <f>IF(B16&lt;10,B16,SUM(D16:E16))</f>
        <v>#VALUE!</v>
      </c>
      <c r="H16" s="260"/>
      <c r="I16" s="34"/>
      <c r="J16" s="34"/>
      <c r="K16" s="34"/>
      <c r="L16" s="34"/>
      <c r="M16" s="34"/>
      <c r="N16" s="34"/>
    </row>
    <row r="17" spans="1:16" x14ac:dyDescent="0.35">
      <c r="B17" s="39"/>
      <c r="C17" s="40"/>
      <c r="D17" s="41"/>
      <c r="E17" s="41"/>
      <c r="F17" s="40"/>
      <c r="G17" s="41"/>
      <c r="H17" s="34"/>
      <c r="I17" s="34"/>
      <c r="J17" s="34"/>
      <c r="K17" s="34"/>
      <c r="L17" s="34"/>
      <c r="M17" s="34"/>
      <c r="N17" s="34"/>
    </row>
    <row r="18" spans="1:16" x14ac:dyDescent="0.35">
      <c r="A18" s="34" t="s">
        <v>49</v>
      </c>
      <c r="B18" s="128" t="b">
        <f>IF(G9&gt;9,G9)</f>
        <v>0</v>
      </c>
      <c r="C18" s="36" t="s">
        <v>11</v>
      </c>
      <c r="D18" s="129" t="e">
        <f>VALUE(LEFT(B18,1))</f>
        <v>#VALUE!</v>
      </c>
      <c r="E18" s="130" t="e">
        <f>VALUE(RIGHT(B18,1))</f>
        <v>#VALUE!</v>
      </c>
      <c r="F18" s="36" t="s">
        <v>11</v>
      </c>
      <c r="G18" s="260" t="e">
        <f>IF(B18&lt;10,B18,SUM(D18:E18))</f>
        <v>#VALUE!</v>
      </c>
      <c r="H18" s="260"/>
      <c r="I18" s="34"/>
      <c r="J18" s="34"/>
      <c r="K18" s="34"/>
      <c r="L18" s="34"/>
      <c r="M18" s="34"/>
      <c r="N18" s="34"/>
    </row>
    <row r="19" spans="1:16" x14ac:dyDescent="0.35">
      <c r="B19" s="34"/>
      <c r="C19" s="37"/>
      <c r="D19" s="38"/>
      <c r="E19" s="38"/>
      <c r="F19" s="37"/>
      <c r="G19" s="38"/>
      <c r="H19" s="34"/>
      <c r="I19" s="34"/>
      <c r="J19" s="34"/>
      <c r="K19" s="34"/>
      <c r="L19" s="34"/>
      <c r="M19" s="34"/>
      <c r="N19" s="34"/>
    </row>
    <row r="20" spans="1:16" x14ac:dyDescent="0.35">
      <c r="A20" s="34" t="s">
        <v>50</v>
      </c>
      <c r="B20" s="128" t="b">
        <f>IF(I11&gt;9,I11)</f>
        <v>0</v>
      </c>
      <c r="C20" s="36" t="s">
        <v>11</v>
      </c>
      <c r="D20" s="129" t="e">
        <f>VALUE(LEFT(B20,1))</f>
        <v>#VALUE!</v>
      </c>
      <c r="E20" s="130" t="e">
        <f>VALUE(RIGHT(B20,1))</f>
        <v>#VALUE!</v>
      </c>
      <c r="F20" s="36" t="s">
        <v>11</v>
      </c>
      <c r="G20" s="260" t="e">
        <f>IF(B20&lt;10,B20,SUM(D20:E20))</f>
        <v>#VALUE!</v>
      </c>
      <c r="H20" s="260"/>
      <c r="I20" s="34"/>
      <c r="J20" s="34"/>
      <c r="K20" s="34"/>
      <c r="L20" s="34"/>
      <c r="M20" s="34"/>
      <c r="N20" s="34"/>
    </row>
    <row r="21" spans="1:16" x14ac:dyDescent="0.35">
      <c r="B21" s="34"/>
      <c r="C21" s="37"/>
      <c r="D21" s="38"/>
      <c r="E21" s="38"/>
      <c r="F21" s="37"/>
      <c r="G21" s="38"/>
      <c r="H21" s="34"/>
      <c r="I21" s="34"/>
      <c r="J21" s="34"/>
      <c r="K21" s="34"/>
      <c r="L21" s="34"/>
      <c r="M21" s="34"/>
      <c r="N21" s="34"/>
    </row>
    <row r="22" spans="1:16" x14ac:dyDescent="0.35">
      <c r="A22" s="34" t="s">
        <v>51</v>
      </c>
      <c r="B22" s="128" t="b">
        <f>IF(K9&gt;9,K9)</f>
        <v>0</v>
      </c>
      <c r="C22" s="36" t="s">
        <v>11</v>
      </c>
      <c r="D22" s="129" t="e">
        <f>VALUE(LEFT(B22,1))</f>
        <v>#VALUE!</v>
      </c>
      <c r="E22" s="130" t="e">
        <f>VALUE(RIGHT(B22,1))</f>
        <v>#VALUE!</v>
      </c>
      <c r="F22" s="36" t="s">
        <v>11</v>
      </c>
      <c r="G22" s="260" t="e">
        <f>IF(B22&lt;10,B22,SUM(D22:E22))</f>
        <v>#VALUE!</v>
      </c>
      <c r="H22" s="260"/>
      <c r="I22" s="34"/>
      <c r="J22" s="34"/>
      <c r="K22" s="34"/>
      <c r="L22" s="34"/>
      <c r="M22" s="34"/>
      <c r="N22" s="34"/>
    </row>
    <row r="23" spans="1:16" x14ac:dyDescent="0.35">
      <c r="B23" s="34"/>
      <c r="C23" s="37"/>
      <c r="D23" s="38"/>
      <c r="E23" s="38"/>
      <c r="F23" s="37"/>
      <c r="G23" s="38"/>
      <c r="H23" s="34"/>
      <c r="I23" s="34"/>
      <c r="J23" s="34"/>
      <c r="K23" s="34"/>
      <c r="L23" s="34"/>
      <c r="M23" s="34"/>
      <c r="N23" s="34"/>
    </row>
    <row r="24" spans="1:16" s="26" customFormat="1" ht="18" x14ac:dyDescent="0.4">
      <c r="A24" s="23"/>
      <c r="B24" s="156" t="s">
        <v>52</v>
      </c>
      <c r="C24" s="157"/>
      <c r="D24" s="158"/>
      <c r="E24" s="158"/>
      <c r="F24" s="157"/>
      <c r="G24" s="158"/>
      <c r="H24" s="158"/>
      <c r="I24" s="158"/>
      <c r="J24" s="24"/>
      <c r="K24" s="24"/>
      <c r="L24" s="24"/>
      <c r="M24" s="24"/>
      <c r="N24" s="24"/>
      <c r="O24" s="25"/>
      <c r="P24" s="25"/>
    </row>
    <row r="25" spans="1:16" s="26" customFormat="1" ht="18" x14ac:dyDescent="0.4">
      <c r="A25" s="23"/>
      <c r="B25" s="42"/>
      <c r="C25" s="7"/>
      <c r="D25" s="24"/>
      <c r="E25" s="24"/>
      <c r="F25" s="7"/>
      <c r="G25" s="24"/>
      <c r="H25" s="24"/>
      <c r="I25" s="24"/>
      <c r="J25" s="24"/>
      <c r="K25" s="24"/>
      <c r="L25" s="24"/>
      <c r="M25" s="24"/>
      <c r="N25" s="24"/>
      <c r="O25" s="25"/>
      <c r="P25" s="25"/>
    </row>
    <row r="26" spans="1:16" s="25" customFormat="1" ht="15.5" x14ac:dyDescent="0.35">
      <c r="A26" s="24"/>
      <c r="B26" s="137">
        <f>B9</f>
        <v>0</v>
      </c>
      <c r="C26" s="138">
        <f>IF(C9&gt;9,G14,C9)</f>
        <v>0</v>
      </c>
      <c r="D26" s="137">
        <f>D9</f>
        <v>0</v>
      </c>
      <c r="E26" s="138">
        <f>IF(E9&gt;9,G16,E9)</f>
        <v>0</v>
      </c>
      <c r="F26" s="138">
        <f>F9</f>
        <v>0</v>
      </c>
      <c r="G26" s="137">
        <f>IF(G9&gt;9,G18,G9)</f>
        <v>0</v>
      </c>
      <c r="H26" s="137">
        <f>H9</f>
        <v>0</v>
      </c>
      <c r="I26" s="137">
        <f>IF(I9&gt;9,G20,I9)</f>
        <v>2</v>
      </c>
      <c r="J26" s="137">
        <f>J9</f>
        <v>0</v>
      </c>
      <c r="K26" s="137">
        <f>IF(K9&gt;9,G22,K9)</f>
        <v>0</v>
      </c>
      <c r="L26" s="24"/>
      <c r="M26" s="136" t="s">
        <v>53</v>
      </c>
      <c r="N26" s="136">
        <f>SUM(B26:K26)</f>
        <v>2</v>
      </c>
    </row>
    <row r="27" spans="1:16" x14ac:dyDescent="0.35">
      <c r="B27" s="34"/>
      <c r="C27" s="37"/>
      <c r="D27" s="38"/>
      <c r="E27" s="38"/>
      <c r="F27" s="37"/>
      <c r="G27" s="38"/>
      <c r="H27" s="34"/>
      <c r="I27" s="34"/>
      <c r="J27" s="34"/>
      <c r="K27" s="34"/>
      <c r="L27" s="34"/>
      <c r="M27" s="34"/>
      <c r="N27" s="34"/>
    </row>
    <row r="28" spans="1:16" ht="18" x14ac:dyDescent="0.4">
      <c r="B28" s="274" t="s">
        <v>54</v>
      </c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"/>
    </row>
    <row r="29" spans="1:16" x14ac:dyDescent="0.3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6" ht="18" x14ac:dyDescent="0.4">
      <c r="B30" s="164" t="s">
        <v>55</v>
      </c>
      <c r="C30" s="165"/>
      <c r="D30" s="165"/>
      <c r="E30" s="168">
        <v>40</v>
      </c>
      <c r="F30" s="166" t="s">
        <v>16</v>
      </c>
      <c r="G30" s="166">
        <f>N26</f>
        <v>2</v>
      </c>
      <c r="H30" s="167" t="s">
        <v>11</v>
      </c>
      <c r="I30" s="150">
        <f>N28-G30</f>
        <v>-2</v>
      </c>
      <c r="J30" s="28"/>
      <c r="K30" s="28"/>
      <c r="L30" s="28"/>
      <c r="M30" s="29"/>
      <c r="N30" s="23"/>
    </row>
    <row r="31" spans="1:16" x14ac:dyDescent="0.3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6" ht="18" x14ac:dyDescent="0.4">
      <c r="B32" s="34"/>
      <c r="C32" s="275" t="s">
        <v>56</v>
      </c>
      <c r="D32" s="275"/>
      <c r="E32" s="275"/>
      <c r="F32" s="275"/>
      <c r="G32" s="163">
        <f>I30</f>
        <v>-2</v>
      </c>
      <c r="H32" s="34"/>
      <c r="I32" s="34"/>
      <c r="J32" s="34"/>
      <c r="K32" s="34"/>
      <c r="L32" s="34"/>
      <c r="M32" s="34"/>
      <c r="N32" s="34"/>
    </row>
  </sheetData>
  <mergeCells count="17">
    <mergeCell ref="G18:H18"/>
    <mergeCell ref="G20:H20"/>
    <mergeCell ref="G22:H22"/>
    <mergeCell ref="B28:M28"/>
    <mergeCell ref="C32:F32"/>
    <mergeCell ref="G16:H16"/>
    <mergeCell ref="A1:M1"/>
    <mergeCell ref="B3:C4"/>
    <mergeCell ref="D3:H4"/>
    <mergeCell ref="I3:I4"/>
    <mergeCell ref="J3:J4"/>
    <mergeCell ref="K3:K4"/>
    <mergeCell ref="L5:M5"/>
    <mergeCell ref="L7:M7"/>
    <mergeCell ref="L9:M9"/>
    <mergeCell ref="B12:L12"/>
    <mergeCell ref="G14:H14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&amp;C&amp;1#&amp;"Calibri"&amp;10&amp;K000000Classificação da informação: Uso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7001-93E6-4A8B-9369-7AE15674012F}">
  <sheetPr codeName="Planilha7"/>
  <dimension ref="A1:N22"/>
  <sheetViews>
    <sheetView topLeftCell="A14" workbookViewId="0">
      <selection activeCell="D18" sqref="D18"/>
    </sheetView>
  </sheetViews>
  <sheetFormatPr defaultRowHeight="14.5" x14ac:dyDescent="0.35"/>
  <cols>
    <col min="3" max="3" width="26.26953125" customWidth="1"/>
    <col min="4" max="4" width="22.1796875" customWidth="1"/>
  </cols>
  <sheetData>
    <row r="1" spans="1:8" ht="18" x14ac:dyDescent="0.4">
      <c r="A1" s="269" t="s">
        <v>57</v>
      </c>
      <c r="B1" s="269"/>
      <c r="C1" s="269"/>
      <c r="D1" s="269"/>
      <c r="E1" s="269"/>
      <c r="F1" s="269"/>
    </row>
    <row r="2" spans="1:8" x14ac:dyDescent="0.35">
      <c r="C2" s="29"/>
      <c r="D2" s="30"/>
    </row>
    <row r="3" spans="1:8" x14ac:dyDescent="0.35">
      <c r="C3" s="302" t="s">
        <v>84</v>
      </c>
      <c r="D3" s="303"/>
    </row>
    <row r="4" spans="1:8" x14ac:dyDescent="0.35">
      <c r="C4" s="304"/>
      <c r="D4" s="305"/>
    </row>
    <row r="5" spans="1:8" x14ac:dyDescent="0.35">
      <c r="C5" s="29"/>
      <c r="D5" s="30"/>
      <c r="F5" s="281" t="s">
        <v>83</v>
      </c>
      <c r="G5" s="282"/>
      <c r="H5" s="283"/>
    </row>
    <row r="6" spans="1:8" ht="15.5" x14ac:dyDescent="0.35">
      <c r="C6" s="171" t="s">
        <v>58</v>
      </c>
      <c r="D6" s="172"/>
      <c r="E6" s="32"/>
      <c r="F6" s="284"/>
      <c r="G6" s="285"/>
      <c r="H6" s="286"/>
    </row>
    <row r="7" spans="1:8" ht="15.5" x14ac:dyDescent="0.35">
      <c r="C7" s="161" t="s">
        <v>59</v>
      </c>
      <c r="D7" s="162">
        <v>35710</v>
      </c>
    </row>
    <row r="8" spans="1:8" ht="15.5" x14ac:dyDescent="0.35">
      <c r="C8" s="159"/>
      <c r="D8" s="159"/>
    </row>
    <row r="9" spans="1:8" ht="15.5" x14ac:dyDescent="0.35">
      <c r="C9" s="160" t="s">
        <v>21</v>
      </c>
      <c r="D9" s="160">
        <f>(D6-D7)</f>
        <v>-35710</v>
      </c>
    </row>
    <row r="14" spans="1:8" x14ac:dyDescent="0.35">
      <c r="C14" s="306" t="s">
        <v>85</v>
      </c>
      <c r="D14" s="307"/>
    </row>
    <row r="15" spans="1:8" x14ac:dyDescent="0.35">
      <c r="C15" s="308"/>
      <c r="D15" s="309"/>
    </row>
    <row r="16" spans="1:8" x14ac:dyDescent="0.35">
      <c r="F16" s="287" t="s">
        <v>83</v>
      </c>
      <c r="G16" s="288"/>
      <c r="H16" s="289"/>
    </row>
    <row r="17" spans="3:14" ht="15.5" x14ac:dyDescent="0.35">
      <c r="C17" s="169" t="s">
        <v>58</v>
      </c>
      <c r="D17" s="170">
        <v>47315</v>
      </c>
      <c r="F17" s="290"/>
      <c r="G17" s="291"/>
      <c r="H17" s="292"/>
    </row>
    <row r="18" spans="3:14" ht="15.5" x14ac:dyDescent="0.35">
      <c r="C18" s="161" t="s">
        <v>59</v>
      </c>
      <c r="D18" s="162">
        <v>44710</v>
      </c>
    </row>
    <row r="19" spans="3:14" ht="15.5" x14ac:dyDescent="0.35">
      <c r="C19" s="159"/>
      <c r="D19" s="159"/>
      <c r="J19" s="293" t="s">
        <v>86</v>
      </c>
      <c r="K19" s="294"/>
      <c r="L19" s="294"/>
      <c r="M19" s="294"/>
      <c r="N19" s="295"/>
    </row>
    <row r="20" spans="3:14" ht="15.5" x14ac:dyDescent="0.35">
      <c r="C20" s="160" t="s">
        <v>21</v>
      </c>
      <c r="D20" s="160">
        <f>(D17-D18)</f>
        <v>2605</v>
      </c>
      <c r="J20" s="296"/>
      <c r="K20" s="297"/>
      <c r="L20" s="297"/>
      <c r="M20" s="297"/>
      <c r="N20" s="298"/>
    </row>
    <row r="21" spans="3:14" x14ac:dyDescent="0.35">
      <c r="J21" s="296"/>
      <c r="K21" s="297"/>
      <c r="L21" s="297"/>
      <c r="M21" s="297"/>
      <c r="N21" s="298"/>
    </row>
    <row r="22" spans="3:14" x14ac:dyDescent="0.35">
      <c r="J22" s="299"/>
      <c r="K22" s="300"/>
      <c r="L22" s="300"/>
      <c r="M22" s="300"/>
      <c r="N22" s="301"/>
    </row>
  </sheetData>
  <mergeCells count="6">
    <mergeCell ref="A1:F1"/>
    <mergeCell ref="F5:H6"/>
    <mergeCell ref="F16:H17"/>
    <mergeCell ref="J19:N22"/>
    <mergeCell ref="C3:D4"/>
    <mergeCell ref="C14:D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DV Nosso Numero</vt:lpstr>
      <vt:lpstr>DV do campo livre</vt:lpstr>
      <vt:lpstr>DV Geral</vt:lpstr>
      <vt:lpstr>DV do 1º campo</vt:lpstr>
      <vt:lpstr>DV do 2º campo</vt:lpstr>
      <vt:lpstr>DV do 3º campo</vt:lpstr>
      <vt:lpstr>Fator de vencimento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Regina da Silva</dc:creator>
  <cp:lastModifiedBy>Camila Neis Brites</cp:lastModifiedBy>
  <cp:lastPrinted>2023-07-14T20:28:43Z</cp:lastPrinted>
  <dcterms:created xsi:type="dcterms:W3CDTF">2020-12-04T14:35:38Z</dcterms:created>
  <dcterms:modified xsi:type="dcterms:W3CDTF">2026-07-08T14:35:49Z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2021-05-10T14:05:27Z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e9bf940f-0bdc-43e9-a71e-9ce4a0344453</vt:lpwstr>
  </property>
  <property fmtid="{D5CDD505-2E9C-101B-9397-08002B2CF9AE}" pid="8" name="MSIP_Label_99deea41-824f-4c3c-afd5-7afdfc16eee8_ContentBits">
    <vt:lpwstr>2</vt:lpwstr>
  </property>
</Properties>
</file>